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lvin/Desktop/RBIP duty list web app/"/>
    </mc:Choice>
  </mc:AlternateContent>
  <xr:revisionPtr revIDLastSave="0" documentId="13_ncr:1_{0A424D03-DFCD-C54D-A96E-D0AD2BA6EE3D}" xr6:coauthVersionLast="47" xr6:coauthVersionMax="47" xr10:uidLastSave="{00000000-0000-0000-0000-000000000000}"/>
  <bookViews>
    <workbookView xWindow="0" yWindow="600" windowWidth="40960" windowHeight="21200" activeTab="21" xr2:uid="{00000000-000D-0000-FFFF-FFFF00000000}"/>
  </bookViews>
  <sheets>
    <sheet name="8 Aug " sheetId="13" state="hidden" r:id="rId1"/>
    <sheet name="12 Aug  (2)" sheetId="18" state="hidden" r:id="rId2"/>
    <sheet name="25 Aug" sheetId="26" state="hidden" r:id="rId3"/>
    <sheet name=" 27 Aug" sheetId="29" state="hidden" r:id="rId4"/>
    <sheet name=" 27 Aug (2)" sheetId="30" state="hidden" r:id="rId5"/>
    <sheet name="7 Aug  (2)" sheetId="12" state="hidden" r:id="rId6"/>
    <sheet name="5 Aug  (4)" sheetId="8" state="hidden" r:id="rId7"/>
    <sheet name="5 Aug  (2)" sheetId="6" state="hidden" r:id="rId8"/>
    <sheet name="5 Aug  (3)" sheetId="7" state="hidden" r:id="rId9"/>
    <sheet name="2 Jan " sheetId="79" r:id="rId10"/>
    <sheet name="5 Jan" sheetId="78" r:id="rId11"/>
    <sheet name="6 Jan" sheetId="82" r:id="rId12"/>
    <sheet name="7 Jan" sheetId="81" r:id="rId13"/>
    <sheet name="8 Jan" sheetId="83" r:id="rId14"/>
    <sheet name="9 Jan" sheetId="84" r:id="rId15"/>
    <sheet name="12 Jan" sheetId="85" r:id="rId16"/>
    <sheet name="13 Jan" sheetId="87" r:id="rId17"/>
    <sheet name="14 Jan" sheetId="91" r:id="rId18"/>
    <sheet name="15 Jan" sheetId="90" r:id="rId19"/>
    <sheet name="16 Jan" sheetId="93" r:id="rId20"/>
    <sheet name="19 Jan" sheetId="94" r:id="rId21"/>
    <sheet name="20 Jan" sheetId="96" r:id="rId22"/>
    <sheet name="21 Jan" sheetId="97" r:id="rId23"/>
    <sheet name="22 Jan" sheetId="98" r:id="rId24"/>
    <sheet name="23 Jan" sheetId="99" r:id="rId25"/>
    <sheet name="26 Jan" sheetId="100" r:id="rId26"/>
    <sheet name="27 Jan" sheetId="101" r:id="rId27"/>
    <sheet name="28 Jan" sheetId="102" r:id="rId28"/>
    <sheet name="29 Jan" sheetId="103" r:id="rId29"/>
    <sheet name="30 Jan" sheetId="10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85" l="1"/>
  <c r="B51" i="85"/>
  <c r="B48" i="85"/>
  <c r="J69" i="98"/>
  <c r="C74" i="104"/>
  <c r="J69" i="104"/>
  <c r="B48" i="104" s="1"/>
  <c r="F69" i="104"/>
  <c r="J43" i="104"/>
  <c r="F43" i="104"/>
  <c r="D43" i="104"/>
  <c r="B43" i="104"/>
  <c r="B40" i="104"/>
  <c r="Q9" i="104"/>
  <c r="P43" i="104" s="1"/>
  <c r="O9" i="104"/>
  <c r="N43" i="104" s="1"/>
  <c r="M9" i="104"/>
  <c r="L43" i="104" s="1"/>
  <c r="I9" i="104"/>
  <c r="H43" i="104" s="1"/>
  <c r="E1" i="104"/>
  <c r="D73" i="104" s="1"/>
  <c r="C74" i="103"/>
  <c r="J69" i="103"/>
  <c r="B48" i="103" s="1"/>
  <c r="F69" i="103"/>
  <c r="J43" i="103"/>
  <c r="F43" i="103"/>
  <c r="D43" i="103"/>
  <c r="B43" i="103"/>
  <c r="B40" i="103"/>
  <c r="Q9" i="103"/>
  <c r="P43" i="103" s="1"/>
  <c r="O9" i="103"/>
  <c r="N43" i="103" s="1"/>
  <c r="M9" i="103"/>
  <c r="L43" i="103" s="1"/>
  <c r="I9" i="103"/>
  <c r="H43" i="103" s="1"/>
  <c r="E1" i="103"/>
  <c r="D73" i="103" s="1"/>
  <c r="C74" i="102"/>
  <c r="F69" i="102"/>
  <c r="J69" i="102" s="1"/>
  <c r="B48" i="102" s="1"/>
  <c r="J43" i="102"/>
  <c r="F43" i="102"/>
  <c r="D43" i="102"/>
  <c r="B43" i="102"/>
  <c r="B40" i="102"/>
  <c r="Q9" i="102"/>
  <c r="P43" i="102" s="1"/>
  <c r="O9" i="102"/>
  <c r="N43" i="102" s="1"/>
  <c r="M9" i="102"/>
  <c r="L43" i="102" s="1"/>
  <c r="I9" i="102"/>
  <c r="H43" i="102" s="1"/>
  <c r="E1" i="102"/>
  <c r="D73" i="102" s="1"/>
  <c r="B41" i="104" l="1"/>
  <c r="L44" i="104" s="1"/>
  <c r="L30" i="104" s="1"/>
  <c r="C73" i="104"/>
  <c r="B49" i="104"/>
  <c r="B41" i="103"/>
  <c r="B44" i="103" s="1"/>
  <c r="B30" i="103" s="1"/>
  <c r="C73" i="103"/>
  <c r="B49" i="103"/>
  <c r="B41" i="102"/>
  <c r="N44" i="102" s="1"/>
  <c r="N30" i="102" s="1"/>
  <c r="B49" i="102"/>
  <c r="C73" i="102"/>
  <c r="C74" i="101"/>
  <c r="F69" i="101"/>
  <c r="J69" i="101" s="1"/>
  <c r="B48" i="101" s="1"/>
  <c r="J43" i="101"/>
  <c r="F43" i="101"/>
  <c r="D43" i="101"/>
  <c r="B43" i="101"/>
  <c r="B40" i="101"/>
  <c r="Q9" i="101"/>
  <c r="P43" i="101" s="1"/>
  <c r="O9" i="101"/>
  <c r="N43" i="101" s="1"/>
  <c r="M9" i="101"/>
  <c r="L43" i="101" s="1"/>
  <c r="I9" i="101"/>
  <c r="H43" i="101" s="1"/>
  <c r="E1" i="101"/>
  <c r="D73" i="101" s="1"/>
  <c r="J44" i="104" l="1"/>
  <c r="J30" i="104" s="1"/>
  <c r="B44" i="104"/>
  <c r="B30" i="104" s="1"/>
  <c r="P44" i="104"/>
  <c r="P30" i="104" s="1"/>
  <c r="H44" i="104"/>
  <c r="H30" i="104" s="1"/>
  <c r="B42" i="104"/>
  <c r="D44" i="104"/>
  <c r="D30" i="104" s="1"/>
  <c r="F44" i="104"/>
  <c r="F30" i="104" s="1"/>
  <c r="N44" i="104"/>
  <c r="N30" i="104" s="1"/>
  <c r="J44" i="102"/>
  <c r="J30" i="102" s="1"/>
  <c r="B42" i="102"/>
  <c r="P50" i="102" s="1"/>
  <c r="P51" i="102" s="1"/>
  <c r="P18" i="102" s="1"/>
  <c r="Q18" i="102" s="1"/>
  <c r="L44" i="102"/>
  <c r="L30" i="102" s="1"/>
  <c r="B44" i="102"/>
  <c r="B30" i="102" s="1"/>
  <c r="H44" i="102"/>
  <c r="H30" i="102" s="1"/>
  <c r="D44" i="102"/>
  <c r="D30" i="102" s="1"/>
  <c r="F44" i="102"/>
  <c r="F30" i="102" s="1"/>
  <c r="P44" i="102"/>
  <c r="P30" i="102" s="1"/>
  <c r="J44" i="103"/>
  <c r="J30" i="103" s="1"/>
  <c r="L44" i="103"/>
  <c r="L30" i="103" s="1"/>
  <c r="P44" i="103"/>
  <c r="P30" i="103" s="1"/>
  <c r="H44" i="103"/>
  <c r="H30" i="103" s="1"/>
  <c r="B42" i="103"/>
  <c r="D44" i="103"/>
  <c r="D30" i="103" s="1"/>
  <c r="F44" i="103"/>
  <c r="F30" i="103" s="1"/>
  <c r="N44" i="103"/>
  <c r="N30" i="103" s="1"/>
  <c r="B49" i="101"/>
  <c r="B41" i="101"/>
  <c r="F44" i="101" s="1"/>
  <c r="F30" i="101" s="1"/>
  <c r="C73" i="101"/>
  <c r="C74" i="100"/>
  <c r="F69" i="100"/>
  <c r="J69" i="100" s="1"/>
  <c r="B48" i="100" s="1"/>
  <c r="J43" i="100"/>
  <c r="F43" i="100"/>
  <c r="D43" i="100"/>
  <c r="B43" i="100"/>
  <c r="B40" i="100"/>
  <c r="Q9" i="100"/>
  <c r="P43" i="100" s="1"/>
  <c r="O9" i="100"/>
  <c r="N43" i="100" s="1"/>
  <c r="M9" i="100"/>
  <c r="L43" i="100" s="1"/>
  <c r="I9" i="100"/>
  <c r="H43" i="100" s="1"/>
  <c r="E1" i="100"/>
  <c r="D73" i="100" s="1"/>
  <c r="C74" i="99"/>
  <c r="F69" i="99"/>
  <c r="J69" i="99" s="1"/>
  <c r="B48" i="99" s="1"/>
  <c r="J43" i="99"/>
  <c r="F43" i="99"/>
  <c r="D43" i="99"/>
  <c r="B43" i="99"/>
  <c r="B40" i="99"/>
  <c r="Q9" i="99"/>
  <c r="P43" i="99" s="1"/>
  <c r="O9" i="99"/>
  <c r="N43" i="99" s="1"/>
  <c r="M9" i="99"/>
  <c r="L43" i="99" s="1"/>
  <c r="I9" i="99"/>
  <c r="H43" i="99" s="1"/>
  <c r="E1" i="99"/>
  <c r="D73" i="99" s="1"/>
  <c r="C74" i="98"/>
  <c r="F69" i="98"/>
  <c r="B48" i="98" s="1"/>
  <c r="J43" i="98"/>
  <c r="F43" i="98"/>
  <c r="D43" i="98"/>
  <c r="B43" i="98"/>
  <c r="B40" i="98"/>
  <c r="Q9" i="98"/>
  <c r="P43" i="98" s="1"/>
  <c r="O9" i="98"/>
  <c r="N43" i="98" s="1"/>
  <c r="M9" i="98"/>
  <c r="L43" i="98" s="1"/>
  <c r="I9" i="98"/>
  <c r="H43" i="98" s="1"/>
  <c r="E1" i="98"/>
  <c r="D73" i="98" s="1"/>
  <c r="J50" i="104" l="1"/>
  <c r="J51" i="104" s="1"/>
  <c r="J18" i="104" s="1"/>
  <c r="B50" i="104"/>
  <c r="B51" i="104" s="1"/>
  <c r="B18" i="104" s="1"/>
  <c r="P50" i="104"/>
  <c r="P51" i="104" s="1"/>
  <c r="P18" i="104" s="1"/>
  <c r="Q18" i="104" s="1"/>
  <c r="H50" i="104"/>
  <c r="H51" i="104" s="1"/>
  <c r="H18" i="104" s="1"/>
  <c r="N50" i="104"/>
  <c r="N51" i="104" s="1"/>
  <c r="N18" i="104" s="1"/>
  <c r="F50" i="104"/>
  <c r="F51" i="104" s="1"/>
  <c r="F18" i="104" s="1"/>
  <c r="L50" i="104"/>
  <c r="L51" i="104" s="1"/>
  <c r="L18" i="104" s="1"/>
  <c r="D50" i="104"/>
  <c r="D51" i="104" s="1"/>
  <c r="D18" i="104" s="1"/>
  <c r="B50" i="102"/>
  <c r="B51" i="102" s="1"/>
  <c r="B18" i="102" s="1"/>
  <c r="F50" i="102"/>
  <c r="F51" i="102" s="1"/>
  <c r="F18" i="102" s="1"/>
  <c r="D50" i="102"/>
  <c r="D51" i="102" s="1"/>
  <c r="D18" i="102" s="1"/>
  <c r="L50" i="102"/>
  <c r="L51" i="102" s="1"/>
  <c r="L18" i="102" s="1"/>
  <c r="J50" i="102"/>
  <c r="J51" i="102" s="1"/>
  <c r="J18" i="102" s="1"/>
  <c r="H50" i="102"/>
  <c r="H51" i="102" s="1"/>
  <c r="H18" i="102" s="1"/>
  <c r="N50" i="102"/>
  <c r="N51" i="102" s="1"/>
  <c r="N18" i="102" s="1"/>
  <c r="J50" i="103"/>
  <c r="J51" i="103" s="1"/>
  <c r="J18" i="103" s="1"/>
  <c r="B50" i="103"/>
  <c r="B51" i="103" s="1"/>
  <c r="B18" i="103" s="1"/>
  <c r="P50" i="103"/>
  <c r="P51" i="103" s="1"/>
  <c r="P18" i="103" s="1"/>
  <c r="Q18" i="103" s="1"/>
  <c r="H50" i="103"/>
  <c r="H51" i="103" s="1"/>
  <c r="H18" i="103" s="1"/>
  <c r="L50" i="103"/>
  <c r="L51" i="103" s="1"/>
  <c r="L18" i="103" s="1"/>
  <c r="D50" i="103"/>
  <c r="D51" i="103" s="1"/>
  <c r="D18" i="103" s="1"/>
  <c r="N50" i="103"/>
  <c r="N51" i="103" s="1"/>
  <c r="N18" i="103" s="1"/>
  <c r="F50" i="103"/>
  <c r="F51" i="103" s="1"/>
  <c r="F18" i="103" s="1"/>
  <c r="H44" i="101"/>
  <c r="H30" i="101" s="1"/>
  <c r="L44" i="101"/>
  <c r="L30" i="101" s="1"/>
  <c r="B44" i="101"/>
  <c r="B30" i="101" s="1"/>
  <c r="N44" i="101"/>
  <c r="N30" i="101" s="1"/>
  <c r="D44" i="101"/>
  <c r="D30" i="101" s="1"/>
  <c r="B42" i="101"/>
  <c r="D50" i="101" s="1"/>
  <c r="D51" i="101" s="1"/>
  <c r="D18" i="101" s="1"/>
  <c r="P44" i="101"/>
  <c r="P30" i="101" s="1"/>
  <c r="J44" i="101"/>
  <c r="J30" i="101" s="1"/>
  <c r="B41" i="100"/>
  <c r="B42" i="100" s="1"/>
  <c r="C73" i="100"/>
  <c r="B49" i="100"/>
  <c r="B41" i="99"/>
  <c r="B44" i="99" s="1"/>
  <c r="B30" i="99" s="1"/>
  <c r="B49" i="99"/>
  <c r="C73" i="99"/>
  <c r="B41" i="98"/>
  <c r="D44" i="98" s="1"/>
  <c r="D30" i="98" s="1"/>
  <c r="C73" i="98"/>
  <c r="B49" i="98"/>
  <c r="C74" i="97"/>
  <c r="F69" i="97"/>
  <c r="J69" i="97" s="1"/>
  <c r="B48" i="97" s="1"/>
  <c r="J43" i="97"/>
  <c r="F43" i="97"/>
  <c r="D43" i="97"/>
  <c r="B43" i="97"/>
  <c r="B40" i="97"/>
  <c r="Q9" i="97"/>
  <c r="P43" i="97" s="1"/>
  <c r="O9" i="97"/>
  <c r="N43" i="97" s="1"/>
  <c r="M9" i="97"/>
  <c r="L43" i="97" s="1"/>
  <c r="I9" i="97"/>
  <c r="H43" i="97" s="1"/>
  <c r="E1" i="97"/>
  <c r="D73" i="97" s="1"/>
  <c r="C74" i="96"/>
  <c r="F69" i="96"/>
  <c r="J69" i="96" s="1"/>
  <c r="B48" i="96" s="1"/>
  <c r="J43" i="96"/>
  <c r="F43" i="96"/>
  <c r="D43" i="96"/>
  <c r="B43" i="96"/>
  <c r="B40" i="96"/>
  <c r="Q9" i="96"/>
  <c r="P43" i="96" s="1"/>
  <c r="O9" i="96"/>
  <c r="N43" i="96" s="1"/>
  <c r="M9" i="96"/>
  <c r="L43" i="96" s="1"/>
  <c r="I9" i="96"/>
  <c r="H43" i="96" s="1"/>
  <c r="E1" i="96"/>
  <c r="D73" i="96" s="1"/>
  <c r="L50" i="101" l="1"/>
  <c r="L51" i="101" s="1"/>
  <c r="L18" i="101" s="1"/>
  <c r="N50" i="101"/>
  <c r="N51" i="101" s="1"/>
  <c r="N18" i="101" s="1"/>
  <c r="B50" i="101"/>
  <c r="B51" i="101" s="1"/>
  <c r="B18" i="101" s="1"/>
  <c r="H50" i="101"/>
  <c r="H51" i="101" s="1"/>
  <c r="H18" i="101" s="1"/>
  <c r="J50" i="101"/>
  <c r="J51" i="101" s="1"/>
  <c r="J18" i="101" s="1"/>
  <c r="P50" i="101"/>
  <c r="P51" i="101" s="1"/>
  <c r="P18" i="101" s="1"/>
  <c r="Q18" i="101" s="1"/>
  <c r="F50" i="101"/>
  <c r="F51" i="101" s="1"/>
  <c r="F18" i="101" s="1"/>
  <c r="L44" i="100"/>
  <c r="L30" i="100" s="1"/>
  <c r="B44" i="100"/>
  <c r="B30" i="100" s="1"/>
  <c r="J50" i="100"/>
  <c r="J51" i="100" s="1"/>
  <c r="J18" i="100" s="1"/>
  <c r="B50" i="100"/>
  <c r="B51" i="100" s="1"/>
  <c r="B18" i="100" s="1"/>
  <c r="P50" i="100"/>
  <c r="P51" i="100" s="1"/>
  <c r="P18" i="100" s="1"/>
  <c r="Q18" i="100" s="1"/>
  <c r="H50" i="100"/>
  <c r="H51" i="100" s="1"/>
  <c r="H18" i="100" s="1"/>
  <c r="N50" i="100"/>
  <c r="N51" i="100" s="1"/>
  <c r="N18" i="100" s="1"/>
  <c r="F50" i="100"/>
  <c r="F51" i="100" s="1"/>
  <c r="F18" i="100" s="1"/>
  <c r="L50" i="100"/>
  <c r="L51" i="100" s="1"/>
  <c r="L18" i="100" s="1"/>
  <c r="D50" i="100"/>
  <c r="D51" i="100" s="1"/>
  <c r="D18" i="100" s="1"/>
  <c r="D44" i="100"/>
  <c r="D30" i="100" s="1"/>
  <c r="P44" i="100"/>
  <c r="P30" i="100" s="1"/>
  <c r="N44" i="100"/>
  <c r="N30" i="100" s="1"/>
  <c r="F44" i="100"/>
  <c r="F30" i="100" s="1"/>
  <c r="H44" i="100"/>
  <c r="H30" i="100" s="1"/>
  <c r="J44" i="100"/>
  <c r="J30" i="100" s="1"/>
  <c r="D44" i="99"/>
  <c r="D30" i="99" s="1"/>
  <c r="P44" i="99"/>
  <c r="P30" i="99" s="1"/>
  <c r="J44" i="99"/>
  <c r="J30" i="99" s="1"/>
  <c r="B42" i="99"/>
  <c r="H44" i="99"/>
  <c r="H30" i="99" s="1"/>
  <c r="L44" i="99"/>
  <c r="L30" i="99" s="1"/>
  <c r="F44" i="99"/>
  <c r="F30" i="99" s="1"/>
  <c r="N44" i="99"/>
  <c r="N30" i="99" s="1"/>
  <c r="P44" i="98"/>
  <c r="P30" i="98" s="1"/>
  <c r="B42" i="98"/>
  <c r="H44" i="98"/>
  <c r="H30" i="98" s="1"/>
  <c r="F44" i="98"/>
  <c r="F30" i="98" s="1"/>
  <c r="J44" i="98"/>
  <c r="J30" i="98" s="1"/>
  <c r="N44" i="98"/>
  <c r="N30" i="98" s="1"/>
  <c r="L44" i="98"/>
  <c r="L30" i="98" s="1"/>
  <c r="B44" i="98"/>
  <c r="B30" i="98" s="1"/>
  <c r="B41" i="97"/>
  <c r="N44" i="97" s="1"/>
  <c r="N30" i="97" s="1"/>
  <c r="C73" i="97"/>
  <c r="B49" i="97"/>
  <c r="B49" i="96"/>
  <c r="B41" i="96"/>
  <c r="B44" i="96" s="1"/>
  <c r="B30" i="96" s="1"/>
  <c r="C73" i="96"/>
  <c r="C74" i="94"/>
  <c r="F69" i="94"/>
  <c r="J69" i="94" s="1"/>
  <c r="B48" i="94" s="1"/>
  <c r="J43" i="94"/>
  <c r="F43" i="94"/>
  <c r="D43" i="94"/>
  <c r="B43" i="94"/>
  <c r="B40" i="94"/>
  <c r="Q9" i="94"/>
  <c r="P43" i="94" s="1"/>
  <c r="O9" i="94"/>
  <c r="N43" i="94" s="1"/>
  <c r="M9" i="94"/>
  <c r="L43" i="94" s="1"/>
  <c r="I9" i="94"/>
  <c r="H43" i="94" s="1"/>
  <c r="E1" i="94"/>
  <c r="D73" i="94" s="1"/>
  <c r="C74" i="93"/>
  <c r="F69" i="93"/>
  <c r="J69" i="93" s="1"/>
  <c r="B48" i="93" s="1"/>
  <c r="J43" i="93"/>
  <c r="F43" i="93"/>
  <c r="D43" i="93"/>
  <c r="B43" i="93"/>
  <c r="B40" i="93"/>
  <c r="Q9" i="93"/>
  <c r="P43" i="93" s="1"/>
  <c r="O9" i="93"/>
  <c r="N43" i="93" s="1"/>
  <c r="M9" i="93"/>
  <c r="L43" i="93" s="1"/>
  <c r="I9" i="93"/>
  <c r="H43" i="93" s="1"/>
  <c r="E1" i="93"/>
  <c r="D73" i="93" s="1"/>
  <c r="C74" i="91"/>
  <c r="F69" i="91"/>
  <c r="J69" i="91" s="1"/>
  <c r="B48" i="91" s="1"/>
  <c r="J43" i="91"/>
  <c r="F43" i="91"/>
  <c r="D43" i="91"/>
  <c r="B43" i="91"/>
  <c r="B40" i="91"/>
  <c r="Q9" i="91"/>
  <c r="P43" i="91" s="1"/>
  <c r="O9" i="91"/>
  <c r="N43" i="91" s="1"/>
  <c r="M9" i="91"/>
  <c r="L43" i="91" s="1"/>
  <c r="I9" i="91"/>
  <c r="H43" i="91" s="1"/>
  <c r="E1" i="91"/>
  <c r="D73" i="91" s="1"/>
  <c r="C74" i="90"/>
  <c r="F69" i="90"/>
  <c r="J69" i="90" s="1"/>
  <c r="B48" i="90" s="1"/>
  <c r="J43" i="90"/>
  <c r="F43" i="90"/>
  <c r="D43" i="90"/>
  <c r="B43" i="90"/>
  <c r="B40" i="90"/>
  <c r="Q9" i="90"/>
  <c r="P43" i="90" s="1"/>
  <c r="O9" i="90"/>
  <c r="N43" i="90" s="1"/>
  <c r="M9" i="90"/>
  <c r="L43" i="90" s="1"/>
  <c r="I9" i="90"/>
  <c r="H43" i="90" s="1"/>
  <c r="E1" i="90"/>
  <c r="D73" i="90" s="1"/>
  <c r="P50" i="99" l="1"/>
  <c r="P51" i="99" s="1"/>
  <c r="P18" i="99" s="1"/>
  <c r="Q18" i="99" s="1"/>
  <c r="H50" i="99"/>
  <c r="H51" i="99" s="1"/>
  <c r="H18" i="99" s="1"/>
  <c r="J50" i="99"/>
  <c r="J51" i="99" s="1"/>
  <c r="J18" i="99" s="1"/>
  <c r="B50" i="99"/>
  <c r="B51" i="99" s="1"/>
  <c r="B18" i="99" s="1"/>
  <c r="N50" i="99"/>
  <c r="N51" i="99" s="1"/>
  <c r="N18" i="99" s="1"/>
  <c r="F50" i="99"/>
  <c r="F51" i="99" s="1"/>
  <c r="F18" i="99" s="1"/>
  <c r="L50" i="99"/>
  <c r="L51" i="99" s="1"/>
  <c r="L18" i="99" s="1"/>
  <c r="D50" i="99"/>
  <c r="D51" i="99" s="1"/>
  <c r="D18" i="99" s="1"/>
  <c r="D44" i="97"/>
  <c r="D30" i="97" s="1"/>
  <c r="L44" i="97"/>
  <c r="L30" i="97" s="1"/>
  <c r="F44" i="97"/>
  <c r="F30" i="97" s="1"/>
  <c r="J50" i="98"/>
  <c r="J51" i="98" s="1"/>
  <c r="J18" i="98" s="1"/>
  <c r="B50" i="98"/>
  <c r="B51" i="98" s="1"/>
  <c r="B18" i="98" s="1"/>
  <c r="P50" i="98"/>
  <c r="P51" i="98" s="1"/>
  <c r="P18" i="98" s="1"/>
  <c r="Q18" i="98" s="1"/>
  <c r="H50" i="98"/>
  <c r="H51" i="98" s="1"/>
  <c r="H18" i="98" s="1"/>
  <c r="L50" i="98"/>
  <c r="L51" i="98" s="1"/>
  <c r="L18" i="98" s="1"/>
  <c r="D50" i="98"/>
  <c r="D51" i="98" s="1"/>
  <c r="D18" i="98" s="1"/>
  <c r="N50" i="98"/>
  <c r="N51" i="98" s="1"/>
  <c r="N18" i="98" s="1"/>
  <c r="F50" i="98"/>
  <c r="F51" i="98" s="1"/>
  <c r="F18" i="98" s="1"/>
  <c r="P44" i="97"/>
  <c r="P30" i="97" s="1"/>
  <c r="J44" i="97"/>
  <c r="J30" i="97" s="1"/>
  <c r="B44" i="97"/>
  <c r="B30" i="97" s="1"/>
  <c r="H44" i="97"/>
  <c r="H30" i="97" s="1"/>
  <c r="B42" i="97"/>
  <c r="J44" i="96"/>
  <c r="J30" i="96" s="1"/>
  <c r="D44" i="96"/>
  <c r="D30" i="96" s="1"/>
  <c r="L44" i="96"/>
  <c r="L30" i="96" s="1"/>
  <c r="P44" i="96"/>
  <c r="P30" i="96" s="1"/>
  <c r="H44" i="96"/>
  <c r="H30" i="96" s="1"/>
  <c r="B42" i="96"/>
  <c r="N44" i="96"/>
  <c r="N30" i="96" s="1"/>
  <c r="F44" i="96"/>
  <c r="F30" i="96" s="1"/>
  <c r="B41" i="94"/>
  <c r="B44" i="94" s="1"/>
  <c r="B30" i="94" s="1"/>
  <c r="C73" i="94"/>
  <c r="B49" i="94"/>
  <c r="B41" i="93"/>
  <c r="N44" i="93" s="1"/>
  <c r="N30" i="93" s="1"/>
  <c r="C73" i="93"/>
  <c r="B49" i="93"/>
  <c r="B41" i="91"/>
  <c r="B44" i="91" s="1"/>
  <c r="B30" i="91" s="1"/>
  <c r="C73" i="91"/>
  <c r="B49" i="91"/>
  <c r="B41" i="90"/>
  <c r="N44" i="90" s="1"/>
  <c r="N30" i="90" s="1"/>
  <c r="C73" i="90"/>
  <c r="B49" i="90"/>
  <c r="C74" i="87"/>
  <c r="F69" i="87"/>
  <c r="J69" i="87" s="1"/>
  <c r="B48" i="87" s="1"/>
  <c r="J43" i="87"/>
  <c r="F43" i="87"/>
  <c r="D43" i="87"/>
  <c r="B43" i="87"/>
  <c r="B40" i="87"/>
  <c r="Q9" i="87"/>
  <c r="P43" i="87" s="1"/>
  <c r="O9" i="87"/>
  <c r="N43" i="87" s="1"/>
  <c r="M9" i="87"/>
  <c r="L43" i="87" s="1"/>
  <c r="I9" i="87"/>
  <c r="H43" i="87" s="1"/>
  <c r="E1" i="87"/>
  <c r="D73" i="87" s="1"/>
  <c r="M9" i="85"/>
  <c r="L43" i="85" s="1"/>
  <c r="C74" i="85"/>
  <c r="F69" i="85"/>
  <c r="J69" i="85" s="1"/>
  <c r="J43" i="85"/>
  <c r="F43" i="85"/>
  <c r="D43" i="85"/>
  <c r="B43" i="85"/>
  <c r="B40" i="85"/>
  <c r="Q9" i="85"/>
  <c r="P43" i="85" s="1"/>
  <c r="O9" i="85"/>
  <c r="N43" i="85" s="1"/>
  <c r="I9" i="85"/>
  <c r="H43" i="85" s="1"/>
  <c r="E1" i="85"/>
  <c r="D73" i="85" s="1"/>
  <c r="C74" i="84"/>
  <c r="F69" i="84"/>
  <c r="J69" i="84" s="1"/>
  <c r="B48" i="84" s="1"/>
  <c r="J43" i="84"/>
  <c r="F43" i="84"/>
  <c r="D43" i="84"/>
  <c r="B43" i="84"/>
  <c r="B40" i="84"/>
  <c r="Q9" i="84"/>
  <c r="P43" i="84" s="1"/>
  <c r="O9" i="84"/>
  <c r="N43" i="84" s="1"/>
  <c r="M9" i="84"/>
  <c r="L43" i="84" s="1"/>
  <c r="I9" i="84"/>
  <c r="H43" i="84" s="1"/>
  <c r="E1" i="84"/>
  <c r="D73" i="84" s="1"/>
  <c r="C74" i="83"/>
  <c r="F69" i="83"/>
  <c r="J69" i="83" s="1"/>
  <c r="B48" i="83" s="1"/>
  <c r="J43" i="83"/>
  <c r="F43" i="83"/>
  <c r="D43" i="83"/>
  <c r="B43" i="83"/>
  <c r="B40" i="83"/>
  <c r="Q9" i="83"/>
  <c r="P43" i="83" s="1"/>
  <c r="O9" i="83"/>
  <c r="N43" i="83" s="1"/>
  <c r="M9" i="83"/>
  <c r="L43" i="83" s="1"/>
  <c r="I9" i="83"/>
  <c r="H43" i="83" s="1"/>
  <c r="E1" i="83"/>
  <c r="D73" i="83" s="1"/>
  <c r="C74" i="82"/>
  <c r="F69" i="82"/>
  <c r="J69" i="82" s="1"/>
  <c r="B48" i="82" s="1"/>
  <c r="J43" i="82"/>
  <c r="F43" i="82"/>
  <c r="D43" i="82"/>
  <c r="B43" i="82"/>
  <c r="B40" i="82"/>
  <c r="Q9" i="82"/>
  <c r="P43" i="82" s="1"/>
  <c r="O9" i="82"/>
  <c r="N43" i="82" s="1"/>
  <c r="M9" i="82"/>
  <c r="L43" i="82" s="1"/>
  <c r="I9" i="82"/>
  <c r="H43" i="82" s="1"/>
  <c r="E1" i="82"/>
  <c r="D73" i="82" s="1"/>
  <c r="C74" i="81"/>
  <c r="F69" i="81"/>
  <c r="J69" i="81" s="1"/>
  <c r="B48" i="81" s="1"/>
  <c r="J43" i="81"/>
  <c r="F43" i="81"/>
  <c r="D43" i="81"/>
  <c r="B43" i="81"/>
  <c r="B40" i="81"/>
  <c r="Q9" i="81"/>
  <c r="P43" i="81" s="1"/>
  <c r="O9" i="81"/>
  <c r="N43" i="81" s="1"/>
  <c r="M9" i="81"/>
  <c r="L43" i="81" s="1"/>
  <c r="I9" i="81"/>
  <c r="H43" i="81" s="1"/>
  <c r="E1" i="81"/>
  <c r="D73" i="81" s="1"/>
  <c r="C74" i="79"/>
  <c r="F69" i="79"/>
  <c r="J69" i="79" s="1"/>
  <c r="B48" i="79" s="1"/>
  <c r="J43" i="79"/>
  <c r="F43" i="79"/>
  <c r="D43" i="79"/>
  <c r="B43" i="79"/>
  <c r="B40" i="79"/>
  <c r="Q9" i="79"/>
  <c r="P43" i="79" s="1"/>
  <c r="O9" i="79"/>
  <c r="N43" i="79" s="1"/>
  <c r="M9" i="79"/>
  <c r="L43" i="79" s="1"/>
  <c r="I9" i="79"/>
  <c r="H43" i="79" s="1"/>
  <c r="E1" i="79"/>
  <c r="D73" i="79" s="1"/>
  <c r="M9" i="78"/>
  <c r="O9" i="78"/>
  <c r="J50" i="97" l="1"/>
  <c r="J51" i="97" s="1"/>
  <c r="J18" i="97" s="1"/>
  <c r="B50" i="97"/>
  <c r="B51" i="97" s="1"/>
  <c r="B18" i="97" s="1"/>
  <c r="L50" i="97"/>
  <c r="L51" i="97" s="1"/>
  <c r="L18" i="97" s="1"/>
  <c r="D50" i="97"/>
  <c r="D51" i="97" s="1"/>
  <c r="D18" i="97" s="1"/>
  <c r="P50" i="97"/>
  <c r="P51" i="97" s="1"/>
  <c r="P18" i="97" s="1"/>
  <c r="Q18" i="97" s="1"/>
  <c r="H50" i="97"/>
  <c r="H51" i="97" s="1"/>
  <c r="H18" i="97" s="1"/>
  <c r="N50" i="97"/>
  <c r="N51" i="97" s="1"/>
  <c r="N18" i="97" s="1"/>
  <c r="F50" i="97"/>
  <c r="F51" i="97" s="1"/>
  <c r="F18" i="97" s="1"/>
  <c r="P50" i="96"/>
  <c r="P51" i="96" s="1"/>
  <c r="P18" i="96" s="1"/>
  <c r="Q18" i="96" s="1"/>
  <c r="H50" i="96"/>
  <c r="H51" i="96" s="1"/>
  <c r="H18" i="96" s="1"/>
  <c r="L50" i="96"/>
  <c r="L51" i="96" s="1"/>
  <c r="L18" i="96" s="1"/>
  <c r="D50" i="96"/>
  <c r="D51" i="96" s="1"/>
  <c r="D18" i="96" s="1"/>
  <c r="N50" i="96"/>
  <c r="N51" i="96" s="1"/>
  <c r="N18" i="96" s="1"/>
  <c r="F50" i="96"/>
  <c r="F51" i="96" s="1"/>
  <c r="F18" i="96" s="1"/>
  <c r="J50" i="96"/>
  <c r="J51" i="96" s="1"/>
  <c r="J18" i="96" s="1"/>
  <c r="B50" i="96"/>
  <c r="B51" i="96" s="1"/>
  <c r="B18" i="96" s="1"/>
  <c r="D44" i="94"/>
  <c r="D30" i="94" s="1"/>
  <c r="F44" i="94"/>
  <c r="F30" i="94" s="1"/>
  <c r="J44" i="94"/>
  <c r="J30" i="94" s="1"/>
  <c r="L44" i="94"/>
  <c r="L30" i="94" s="1"/>
  <c r="D44" i="93"/>
  <c r="D30" i="93" s="1"/>
  <c r="P44" i="94"/>
  <c r="P30" i="94" s="1"/>
  <c r="H44" i="94"/>
  <c r="H30" i="94" s="1"/>
  <c r="B42" i="94"/>
  <c r="N44" i="94"/>
  <c r="N30" i="94" s="1"/>
  <c r="P44" i="93"/>
  <c r="P30" i="93" s="1"/>
  <c r="F44" i="93"/>
  <c r="F30" i="93" s="1"/>
  <c r="H44" i="93"/>
  <c r="H30" i="93" s="1"/>
  <c r="J44" i="93"/>
  <c r="J30" i="93" s="1"/>
  <c r="B42" i="93"/>
  <c r="L44" i="93"/>
  <c r="L30" i="93" s="1"/>
  <c r="B44" i="93"/>
  <c r="B30" i="93" s="1"/>
  <c r="L44" i="91"/>
  <c r="L30" i="91" s="1"/>
  <c r="D44" i="91"/>
  <c r="D30" i="91" s="1"/>
  <c r="F44" i="91"/>
  <c r="F30" i="91" s="1"/>
  <c r="P44" i="91"/>
  <c r="P30" i="91" s="1"/>
  <c r="H44" i="91"/>
  <c r="H30" i="91" s="1"/>
  <c r="B42" i="91"/>
  <c r="N44" i="91"/>
  <c r="N30" i="91" s="1"/>
  <c r="J44" i="91"/>
  <c r="J30" i="91" s="1"/>
  <c r="L44" i="90"/>
  <c r="L30" i="90" s="1"/>
  <c r="D44" i="90"/>
  <c r="D30" i="90" s="1"/>
  <c r="F44" i="90"/>
  <c r="F30" i="90" s="1"/>
  <c r="J44" i="90"/>
  <c r="J30" i="90" s="1"/>
  <c r="B44" i="90"/>
  <c r="B30" i="90" s="1"/>
  <c r="P44" i="90"/>
  <c r="P30" i="90" s="1"/>
  <c r="H44" i="90"/>
  <c r="H30" i="90" s="1"/>
  <c r="B42" i="90"/>
  <c r="B41" i="87"/>
  <c r="B42" i="87" s="1"/>
  <c r="C73" i="87"/>
  <c r="B49" i="87"/>
  <c r="B41" i="85"/>
  <c r="P44" i="85" s="1"/>
  <c r="P30" i="85" s="1"/>
  <c r="C73" i="85"/>
  <c r="B41" i="84"/>
  <c r="N44" i="84" s="1"/>
  <c r="N30" i="84" s="1"/>
  <c r="C73" i="84"/>
  <c r="B49" i="84"/>
  <c r="B49" i="83"/>
  <c r="B41" i="83"/>
  <c r="C73" i="83"/>
  <c r="B41" i="82"/>
  <c r="N44" i="82" s="1"/>
  <c r="N30" i="82" s="1"/>
  <c r="C73" i="82"/>
  <c r="B49" i="82"/>
  <c r="B41" i="81"/>
  <c r="N44" i="81" s="1"/>
  <c r="N30" i="81" s="1"/>
  <c r="C73" i="81"/>
  <c r="B49" i="81"/>
  <c r="B41" i="79"/>
  <c r="P44" i="79" s="1"/>
  <c r="P30" i="79" s="1"/>
  <c r="C73" i="79"/>
  <c r="B49" i="79"/>
  <c r="C74" i="78"/>
  <c r="F69" i="78"/>
  <c r="J69" i="78" s="1"/>
  <c r="B48" i="78" s="1"/>
  <c r="J43" i="78"/>
  <c r="F43" i="78"/>
  <c r="D43" i="78"/>
  <c r="B43" i="78"/>
  <c r="B40" i="78"/>
  <c r="Q9" i="78"/>
  <c r="P43" i="78" s="1"/>
  <c r="N43" i="78"/>
  <c r="L43" i="78"/>
  <c r="I9" i="78"/>
  <c r="H43" i="78" s="1"/>
  <c r="E1" i="78"/>
  <c r="D73" i="78" s="1"/>
  <c r="J50" i="94" l="1"/>
  <c r="J51" i="94" s="1"/>
  <c r="J18" i="94" s="1"/>
  <c r="B50" i="94"/>
  <c r="B51" i="94" s="1"/>
  <c r="B18" i="94" s="1"/>
  <c r="P50" i="94"/>
  <c r="P51" i="94" s="1"/>
  <c r="P18" i="94" s="1"/>
  <c r="Q18" i="94" s="1"/>
  <c r="H50" i="94"/>
  <c r="H51" i="94" s="1"/>
  <c r="H18" i="94" s="1"/>
  <c r="L50" i="94"/>
  <c r="L51" i="94" s="1"/>
  <c r="L18" i="94" s="1"/>
  <c r="D50" i="94"/>
  <c r="D51" i="94" s="1"/>
  <c r="D18" i="94" s="1"/>
  <c r="N50" i="94"/>
  <c r="N51" i="94" s="1"/>
  <c r="N18" i="94" s="1"/>
  <c r="F50" i="94"/>
  <c r="F51" i="94" s="1"/>
  <c r="F18" i="94" s="1"/>
  <c r="B44" i="87"/>
  <c r="B30" i="87" s="1"/>
  <c r="L44" i="87"/>
  <c r="L30" i="87" s="1"/>
  <c r="F44" i="82"/>
  <c r="F30" i="82" s="1"/>
  <c r="P44" i="87"/>
  <c r="P30" i="87" s="1"/>
  <c r="J50" i="93"/>
  <c r="J51" i="93" s="1"/>
  <c r="J18" i="93" s="1"/>
  <c r="B50" i="93"/>
  <c r="B51" i="93" s="1"/>
  <c r="B18" i="93" s="1"/>
  <c r="P50" i="93"/>
  <c r="P51" i="93" s="1"/>
  <c r="P18" i="93" s="1"/>
  <c r="Q18" i="93" s="1"/>
  <c r="H50" i="93"/>
  <c r="H51" i="93" s="1"/>
  <c r="H18" i="93" s="1"/>
  <c r="N50" i="93"/>
  <c r="N51" i="93" s="1"/>
  <c r="N18" i="93" s="1"/>
  <c r="F50" i="93"/>
  <c r="F51" i="93" s="1"/>
  <c r="F18" i="93" s="1"/>
  <c r="L50" i="93"/>
  <c r="L51" i="93" s="1"/>
  <c r="L18" i="93" s="1"/>
  <c r="D50" i="93"/>
  <c r="D51" i="93" s="1"/>
  <c r="D18" i="93" s="1"/>
  <c r="D44" i="87"/>
  <c r="D30" i="87" s="1"/>
  <c r="N44" i="87"/>
  <c r="N30" i="87" s="1"/>
  <c r="J50" i="91"/>
  <c r="J51" i="91" s="1"/>
  <c r="J18" i="91" s="1"/>
  <c r="B50" i="91"/>
  <c r="B51" i="91" s="1"/>
  <c r="B18" i="91" s="1"/>
  <c r="P50" i="91"/>
  <c r="P51" i="91" s="1"/>
  <c r="P18" i="91" s="1"/>
  <c r="Q18" i="91" s="1"/>
  <c r="H50" i="91"/>
  <c r="H51" i="91" s="1"/>
  <c r="H18" i="91" s="1"/>
  <c r="L50" i="91"/>
  <c r="L51" i="91" s="1"/>
  <c r="L18" i="91" s="1"/>
  <c r="D50" i="91"/>
  <c r="D51" i="91" s="1"/>
  <c r="D18" i="91" s="1"/>
  <c r="N50" i="91"/>
  <c r="N51" i="91" s="1"/>
  <c r="N18" i="91" s="1"/>
  <c r="F50" i="91"/>
  <c r="F51" i="91" s="1"/>
  <c r="F18" i="91" s="1"/>
  <c r="J50" i="90"/>
  <c r="J51" i="90" s="1"/>
  <c r="J18" i="90" s="1"/>
  <c r="B50" i="90"/>
  <c r="B51" i="90" s="1"/>
  <c r="B18" i="90" s="1"/>
  <c r="P50" i="90"/>
  <c r="P51" i="90" s="1"/>
  <c r="P18" i="90" s="1"/>
  <c r="Q18" i="90" s="1"/>
  <c r="H50" i="90"/>
  <c r="H51" i="90" s="1"/>
  <c r="H18" i="90" s="1"/>
  <c r="N50" i="90"/>
  <c r="N51" i="90" s="1"/>
  <c r="N18" i="90" s="1"/>
  <c r="F50" i="90"/>
  <c r="F51" i="90" s="1"/>
  <c r="F18" i="90" s="1"/>
  <c r="L50" i="90"/>
  <c r="L51" i="90" s="1"/>
  <c r="L18" i="90" s="1"/>
  <c r="D50" i="90"/>
  <c r="D51" i="90" s="1"/>
  <c r="D18" i="90" s="1"/>
  <c r="J50" i="87"/>
  <c r="J51" i="87" s="1"/>
  <c r="J18" i="87" s="1"/>
  <c r="B50" i="87"/>
  <c r="B51" i="87" s="1"/>
  <c r="B18" i="87" s="1"/>
  <c r="P50" i="87"/>
  <c r="P51" i="87" s="1"/>
  <c r="P18" i="87" s="1"/>
  <c r="Q18" i="87" s="1"/>
  <c r="H50" i="87"/>
  <c r="H51" i="87" s="1"/>
  <c r="H18" i="87" s="1"/>
  <c r="N50" i="87"/>
  <c r="N51" i="87" s="1"/>
  <c r="N18" i="87" s="1"/>
  <c r="F50" i="87"/>
  <c r="F51" i="87" s="1"/>
  <c r="F18" i="87" s="1"/>
  <c r="L50" i="87"/>
  <c r="L51" i="87" s="1"/>
  <c r="L18" i="87" s="1"/>
  <c r="D50" i="87"/>
  <c r="D51" i="87" s="1"/>
  <c r="D18" i="87" s="1"/>
  <c r="F44" i="87"/>
  <c r="F30" i="87" s="1"/>
  <c r="H44" i="87"/>
  <c r="H30" i="87" s="1"/>
  <c r="J44" i="87"/>
  <c r="J30" i="87" s="1"/>
  <c r="D44" i="82"/>
  <c r="D30" i="82" s="1"/>
  <c r="N44" i="85"/>
  <c r="N30" i="85" s="1"/>
  <c r="D44" i="85"/>
  <c r="D30" i="85" s="1"/>
  <c r="F44" i="85"/>
  <c r="F30" i="85" s="1"/>
  <c r="J44" i="85"/>
  <c r="J30" i="85" s="1"/>
  <c r="H44" i="85"/>
  <c r="H30" i="85" s="1"/>
  <c r="B42" i="85"/>
  <c r="L44" i="85"/>
  <c r="L30" i="85" s="1"/>
  <c r="B44" i="85"/>
  <c r="B30" i="85" s="1"/>
  <c r="D44" i="84"/>
  <c r="D30" i="84" s="1"/>
  <c r="L44" i="84"/>
  <c r="L30" i="84" s="1"/>
  <c r="F44" i="84"/>
  <c r="F30" i="84" s="1"/>
  <c r="D44" i="79"/>
  <c r="D30" i="79" s="1"/>
  <c r="L44" i="82"/>
  <c r="L30" i="82" s="1"/>
  <c r="J44" i="84"/>
  <c r="J30" i="84" s="1"/>
  <c r="B44" i="84"/>
  <c r="B30" i="84" s="1"/>
  <c r="P44" i="84"/>
  <c r="P30" i="84" s="1"/>
  <c r="H44" i="84"/>
  <c r="H30" i="84" s="1"/>
  <c r="B42" i="84"/>
  <c r="H44" i="79"/>
  <c r="H30" i="79" s="1"/>
  <c r="F44" i="81"/>
  <c r="F30" i="81" s="1"/>
  <c r="L44" i="79"/>
  <c r="L30" i="79" s="1"/>
  <c r="B44" i="79"/>
  <c r="B30" i="79" s="1"/>
  <c r="N44" i="83"/>
  <c r="N30" i="83" s="1"/>
  <c r="F44" i="83"/>
  <c r="F30" i="83" s="1"/>
  <c r="J44" i="83"/>
  <c r="J30" i="83" s="1"/>
  <c r="B44" i="83"/>
  <c r="B30" i="83" s="1"/>
  <c r="P44" i="83"/>
  <c r="P30" i="83" s="1"/>
  <c r="H44" i="83"/>
  <c r="H30" i="83" s="1"/>
  <c r="B42" i="83"/>
  <c r="L44" i="83"/>
  <c r="L30" i="83" s="1"/>
  <c r="D44" i="83"/>
  <c r="D30" i="83" s="1"/>
  <c r="B42" i="79"/>
  <c r="B50" i="79" s="1"/>
  <c r="B51" i="79" s="1"/>
  <c r="B18" i="79" s="1"/>
  <c r="L44" i="81"/>
  <c r="L30" i="81" s="1"/>
  <c r="J44" i="82"/>
  <c r="J30" i="82" s="1"/>
  <c r="B44" i="82"/>
  <c r="B30" i="82" s="1"/>
  <c r="P44" i="82"/>
  <c r="P30" i="82" s="1"/>
  <c r="H44" i="82"/>
  <c r="H30" i="82" s="1"/>
  <c r="B42" i="82"/>
  <c r="J44" i="81"/>
  <c r="J30" i="81" s="1"/>
  <c r="B44" i="81"/>
  <c r="B30" i="81" s="1"/>
  <c r="P44" i="81"/>
  <c r="P30" i="81" s="1"/>
  <c r="H44" i="81"/>
  <c r="H30" i="81" s="1"/>
  <c r="B42" i="81"/>
  <c r="D44" i="81"/>
  <c r="D30" i="81" s="1"/>
  <c r="J44" i="79"/>
  <c r="J30" i="79" s="1"/>
  <c r="F44" i="79"/>
  <c r="F30" i="79" s="1"/>
  <c r="N44" i="79"/>
  <c r="N30" i="79" s="1"/>
  <c r="J50" i="79"/>
  <c r="J51" i="79" s="1"/>
  <c r="J18" i="79" s="1"/>
  <c r="B49" i="78"/>
  <c r="B41" i="78"/>
  <c r="L44" i="78" s="1"/>
  <c r="L30" i="78" s="1"/>
  <c r="C73" i="78"/>
  <c r="H50" i="79" l="1"/>
  <c r="H51" i="79" s="1"/>
  <c r="H18" i="79" s="1"/>
  <c r="P50" i="79"/>
  <c r="P51" i="79" s="1"/>
  <c r="P18" i="79" s="1"/>
  <c r="Q18" i="79" s="1"/>
  <c r="J50" i="85"/>
  <c r="J51" i="85" s="1"/>
  <c r="J18" i="85" s="1"/>
  <c r="B50" i="85"/>
  <c r="B18" i="85" s="1"/>
  <c r="P50" i="85"/>
  <c r="P51" i="85" s="1"/>
  <c r="P18" i="85" s="1"/>
  <c r="Q18" i="85" s="1"/>
  <c r="H50" i="85"/>
  <c r="H51" i="85" s="1"/>
  <c r="H18" i="85" s="1"/>
  <c r="N50" i="85"/>
  <c r="N51" i="85" s="1"/>
  <c r="N18" i="85" s="1"/>
  <c r="F50" i="85"/>
  <c r="F51" i="85" s="1"/>
  <c r="F18" i="85" s="1"/>
  <c r="L50" i="85"/>
  <c r="L51" i="85" s="1"/>
  <c r="L18" i="85" s="1"/>
  <c r="D50" i="85"/>
  <c r="D51" i="85" s="1"/>
  <c r="D18" i="85" s="1"/>
  <c r="D50" i="79"/>
  <c r="D51" i="79" s="1"/>
  <c r="D18" i="79" s="1"/>
  <c r="J50" i="84"/>
  <c r="J51" i="84" s="1"/>
  <c r="J18" i="84" s="1"/>
  <c r="B50" i="84"/>
  <c r="B51" i="84" s="1"/>
  <c r="B18" i="84" s="1"/>
  <c r="P50" i="84"/>
  <c r="P51" i="84" s="1"/>
  <c r="P18" i="84" s="1"/>
  <c r="Q18" i="84" s="1"/>
  <c r="H50" i="84"/>
  <c r="H51" i="84" s="1"/>
  <c r="H18" i="84" s="1"/>
  <c r="N50" i="84"/>
  <c r="N51" i="84" s="1"/>
  <c r="N18" i="84" s="1"/>
  <c r="F50" i="84"/>
  <c r="F51" i="84" s="1"/>
  <c r="F18" i="84" s="1"/>
  <c r="L50" i="84"/>
  <c r="L51" i="84" s="1"/>
  <c r="L18" i="84" s="1"/>
  <c r="D50" i="84"/>
  <c r="D51" i="84" s="1"/>
  <c r="D18" i="84" s="1"/>
  <c r="F50" i="79"/>
  <c r="F51" i="79" s="1"/>
  <c r="F18" i="79" s="1"/>
  <c r="L50" i="79"/>
  <c r="L51" i="79" s="1"/>
  <c r="L18" i="79" s="1"/>
  <c r="N50" i="79"/>
  <c r="N51" i="79" s="1"/>
  <c r="N18" i="79" s="1"/>
  <c r="J50" i="83"/>
  <c r="J51" i="83" s="1"/>
  <c r="J18" i="83" s="1"/>
  <c r="B50" i="83"/>
  <c r="B51" i="83" s="1"/>
  <c r="B18" i="83" s="1"/>
  <c r="P50" i="83"/>
  <c r="P51" i="83" s="1"/>
  <c r="P18" i="83" s="1"/>
  <c r="Q18" i="83" s="1"/>
  <c r="H50" i="83"/>
  <c r="H51" i="83" s="1"/>
  <c r="H18" i="83" s="1"/>
  <c r="N50" i="83"/>
  <c r="N51" i="83" s="1"/>
  <c r="N18" i="83" s="1"/>
  <c r="F50" i="83"/>
  <c r="F51" i="83" s="1"/>
  <c r="F18" i="83" s="1"/>
  <c r="L50" i="83"/>
  <c r="L51" i="83" s="1"/>
  <c r="L18" i="83" s="1"/>
  <c r="D50" i="83"/>
  <c r="D51" i="83" s="1"/>
  <c r="D18" i="83" s="1"/>
  <c r="J50" i="82"/>
  <c r="J51" i="82" s="1"/>
  <c r="J18" i="82" s="1"/>
  <c r="B50" i="82"/>
  <c r="B51" i="82" s="1"/>
  <c r="B18" i="82" s="1"/>
  <c r="P50" i="82"/>
  <c r="P51" i="82" s="1"/>
  <c r="P18" i="82" s="1"/>
  <c r="Q18" i="82" s="1"/>
  <c r="H50" i="82"/>
  <c r="H51" i="82" s="1"/>
  <c r="H18" i="82" s="1"/>
  <c r="N50" i="82"/>
  <c r="N51" i="82" s="1"/>
  <c r="N18" i="82" s="1"/>
  <c r="F50" i="82"/>
  <c r="F51" i="82" s="1"/>
  <c r="F18" i="82" s="1"/>
  <c r="L50" i="82"/>
  <c r="L51" i="82" s="1"/>
  <c r="L18" i="82" s="1"/>
  <c r="D50" i="82"/>
  <c r="D51" i="82" s="1"/>
  <c r="D18" i="82" s="1"/>
  <c r="J50" i="81"/>
  <c r="J51" i="81" s="1"/>
  <c r="J18" i="81" s="1"/>
  <c r="B50" i="81"/>
  <c r="B51" i="81" s="1"/>
  <c r="B18" i="81" s="1"/>
  <c r="P50" i="81"/>
  <c r="P51" i="81" s="1"/>
  <c r="P18" i="81" s="1"/>
  <c r="Q18" i="81" s="1"/>
  <c r="H50" i="81"/>
  <c r="H51" i="81" s="1"/>
  <c r="H18" i="81" s="1"/>
  <c r="N50" i="81"/>
  <c r="N51" i="81" s="1"/>
  <c r="N18" i="81" s="1"/>
  <c r="F50" i="81"/>
  <c r="F51" i="81" s="1"/>
  <c r="F18" i="81" s="1"/>
  <c r="L50" i="81"/>
  <c r="L51" i="81" s="1"/>
  <c r="L18" i="81" s="1"/>
  <c r="D50" i="81"/>
  <c r="D51" i="81" s="1"/>
  <c r="D18" i="81" s="1"/>
  <c r="D44" i="78"/>
  <c r="D30" i="78" s="1"/>
  <c r="N44" i="78"/>
  <c r="N30" i="78" s="1"/>
  <c r="F44" i="78"/>
  <c r="F30" i="78" s="1"/>
  <c r="J44" i="78"/>
  <c r="J30" i="78" s="1"/>
  <c r="B44" i="78"/>
  <c r="B30" i="78" s="1"/>
  <c r="P44" i="78"/>
  <c r="P30" i="78" s="1"/>
  <c r="H44" i="78"/>
  <c r="H30" i="78" s="1"/>
  <c r="B42" i="78"/>
  <c r="J50" i="78" l="1"/>
  <c r="J51" i="78" s="1"/>
  <c r="J18" i="78" s="1"/>
  <c r="B50" i="78"/>
  <c r="B51" i="78" s="1"/>
  <c r="B18" i="78" s="1"/>
  <c r="P50" i="78"/>
  <c r="P51" i="78" s="1"/>
  <c r="P18" i="78" s="1"/>
  <c r="Q18" i="78" s="1"/>
  <c r="H50" i="78"/>
  <c r="H51" i="78" s="1"/>
  <c r="H18" i="78" s="1"/>
  <c r="N50" i="78"/>
  <c r="N51" i="78" s="1"/>
  <c r="N18" i="78" s="1"/>
  <c r="F50" i="78"/>
  <c r="F51" i="78" s="1"/>
  <c r="F18" i="78" s="1"/>
  <c r="L50" i="78"/>
  <c r="L51" i="78" s="1"/>
  <c r="L18" i="78" s="1"/>
  <c r="D50" i="78"/>
  <c r="D51" i="78" s="1"/>
  <c r="D18" i="78" s="1"/>
  <c r="C74" i="30" l="1"/>
  <c r="F69" i="30"/>
  <c r="J69" i="30" s="1"/>
  <c r="B48" i="30" s="1"/>
  <c r="J43" i="30"/>
  <c r="F43" i="30"/>
  <c r="D43" i="30"/>
  <c r="B43" i="30"/>
  <c r="B40" i="30"/>
  <c r="O9" i="30"/>
  <c r="N43" i="30" s="1"/>
  <c r="M9" i="30"/>
  <c r="L43" i="30" s="1"/>
  <c r="I9" i="30"/>
  <c r="H43" i="30" s="1"/>
  <c r="E1" i="30"/>
  <c r="D73" i="30" s="1"/>
  <c r="B49" i="30" l="1"/>
  <c r="B41" i="30"/>
  <c r="F44" i="30" s="1"/>
  <c r="F30" i="30" s="1"/>
  <c r="C73" i="30"/>
  <c r="C74" i="29"/>
  <c r="F69" i="29"/>
  <c r="J69" i="29" s="1"/>
  <c r="B48" i="29" s="1"/>
  <c r="J43" i="29"/>
  <c r="F43" i="29"/>
  <c r="D43" i="29"/>
  <c r="B43" i="29"/>
  <c r="B40" i="29"/>
  <c r="O9" i="29"/>
  <c r="N43" i="29" s="1"/>
  <c r="M9" i="29"/>
  <c r="L43" i="29" s="1"/>
  <c r="I9" i="29"/>
  <c r="H43" i="29" s="1"/>
  <c r="E1" i="29"/>
  <c r="D73" i="29" s="1"/>
  <c r="B49" i="29" l="1"/>
  <c r="J44" i="30"/>
  <c r="J30" i="30" s="1"/>
  <c r="B44" i="30"/>
  <c r="B30" i="30" s="1"/>
  <c r="B42" i="30"/>
  <c r="H44" i="30"/>
  <c r="H30" i="30" s="1"/>
  <c r="N44" i="30"/>
  <c r="N30" i="30" s="1"/>
  <c r="L44" i="30"/>
  <c r="L30" i="30" s="1"/>
  <c r="D44" i="30"/>
  <c r="D30" i="30" s="1"/>
  <c r="B41" i="29"/>
  <c r="B44" i="29" s="1"/>
  <c r="B30" i="29" s="1"/>
  <c r="C73" i="29"/>
  <c r="L50" i="30" l="1"/>
  <c r="L51" i="30" s="1"/>
  <c r="L18" i="30" s="1"/>
  <c r="D50" i="30"/>
  <c r="D51" i="30" s="1"/>
  <c r="D18" i="30" s="1"/>
  <c r="H50" i="30"/>
  <c r="H51" i="30" s="1"/>
  <c r="H18" i="30" s="1"/>
  <c r="N50" i="30"/>
  <c r="N51" i="30" s="1"/>
  <c r="N18" i="30" s="1"/>
  <c r="O18" i="30" s="1"/>
  <c r="J50" i="30"/>
  <c r="J51" i="30" s="1"/>
  <c r="J18" i="30" s="1"/>
  <c r="B50" i="30"/>
  <c r="B51" i="30" s="1"/>
  <c r="B18" i="30" s="1"/>
  <c r="F50" i="30"/>
  <c r="F51" i="30" s="1"/>
  <c r="F18" i="30" s="1"/>
  <c r="J44" i="29"/>
  <c r="J30" i="29" s="1"/>
  <c r="F44" i="29"/>
  <c r="F30" i="29" s="1"/>
  <c r="N44" i="29"/>
  <c r="N30" i="29" s="1"/>
  <c r="H44" i="29"/>
  <c r="H30" i="29" s="1"/>
  <c r="L44" i="29"/>
  <c r="L30" i="29" s="1"/>
  <c r="B42" i="29"/>
  <c r="N50" i="29" s="1"/>
  <c r="N51" i="29" s="1"/>
  <c r="N18" i="29" s="1"/>
  <c r="O18" i="29" s="1"/>
  <c r="D44" i="29"/>
  <c r="D30" i="29" s="1"/>
  <c r="B50" i="29" l="1"/>
  <c r="B51" i="29" s="1"/>
  <c r="B18" i="29" s="1"/>
  <c r="H50" i="29"/>
  <c r="H51" i="29" s="1"/>
  <c r="H18" i="29" s="1"/>
  <c r="J50" i="29"/>
  <c r="J51" i="29" s="1"/>
  <c r="J18" i="29" s="1"/>
  <c r="D50" i="29"/>
  <c r="D51" i="29" s="1"/>
  <c r="D18" i="29" s="1"/>
  <c r="F50" i="29"/>
  <c r="F51" i="29" s="1"/>
  <c r="F18" i="29" s="1"/>
  <c r="L50" i="29"/>
  <c r="L51" i="29" s="1"/>
  <c r="L18" i="29" s="1"/>
  <c r="C74" i="26"/>
  <c r="F69" i="26"/>
  <c r="J69" i="26" s="1"/>
  <c r="B48" i="26" s="1"/>
  <c r="J43" i="26"/>
  <c r="F43" i="26"/>
  <c r="D43" i="26"/>
  <c r="B43" i="26"/>
  <c r="B40" i="26"/>
  <c r="O9" i="26"/>
  <c r="N43" i="26" s="1"/>
  <c r="M9" i="26"/>
  <c r="L43" i="26" s="1"/>
  <c r="I9" i="26"/>
  <c r="H43" i="26" s="1"/>
  <c r="E1" i="26"/>
  <c r="C73" i="26" s="1"/>
  <c r="B41" i="26" l="1"/>
  <c r="L44" i="26" s="1"/>
  <c r="L30" i="26" s="1"/>
  <c r="B49" i="26"/>
  <c r="D73" i="26"/>
  <c r="D44" i="26" l="1"/>
  <c r="D30" i="26" s="1"/>
  <c r="N44" i="26"/>
  <c r="N30" i="26" s="1"/>
  <c r="B42" i="26"/>
  <c r="B50" i="26" s="1"/>
  <c r="B51" i="26" s="1"/>
  <c r="B18" i="26" s="1"/>
  <c r="F44" i="26"/>
  <c r="F30" i="26" s="1"/>
  <c r="B44" i="26"/>
  <c r="B30" i="26" s="1"/>
  <c r="H44" i="26"/>
  <c r="H30" i="26" s="1"/>
  <c r="J44" i="26"/>
  <c r="J30" i="26" s="1"/>
  <c r="J50" i="26" l="1"/>
  <c r="J51" i="26" s="1"/>
  <c r="J18" i="26" s="1"/>
  <c r="D50" i="26"/>
  <c r="D51" i="26" s="1"/>
  <c r="D18" i="26" s="1"/>
  <c r="L50" i="26"/>
  <c r="L51" i="26" s="1"/>
  <c r="L18" i="26" s="1"/>
  <c r="N50" i="26"/>
  <c r="N51" i="26" s="1"/>
  <c r="N18" i="26" s="1"/>
  <c r="O18" i="26" s="1"/>
  <c r="F50" i="26"/>
  <c r="F51" i="26" s="1"/>
  <c r="F18" i="26" s="1"/>
  <c r="H50" i="26"/>
  <c r="H51" i="26" s="1"/>
  <c r="H18" i="26" s="1"/>
  <c r="C75" i="18" l="1"/>
  <c r="F70" i="18"/>
  <c r="J70" i="18" s="1"/>
  <c r="B49" i="18" s="1"/>
  <c r="J44" i="18"/>
  <c r="F44" i="18"/>
  <c r="D44" i="18"/>
  <c r="B44" i="18"/>
  <c r="B41" i="18"/>
  <c r="O9" i="18"/>
  <c r="N44" i="18" s="1"/>
  <c r="M9" i="18"/>
  <c r="L44" i="18" s="1"/>
  <c r="I9" i="18"/>
  <c r="H44" i="18" s="1"/>
  <c r="E1" i="18"/>
  <c r="D74" i="18" s="1"/>
  <c r="B50" i="18" l="1"/>
  <c r="B42" i="18"/>
  <c r="F45" i="18" s="1"/>
  <c r="F31" i="18" s="1"/>
  <c r="C74" i="18"/>
  <c r="D45" i="18" l="1"/>
  <c r="D31" i="18" s="1"/>
  <c r="J45" i="18"/>
  <c r="J31" i="18" s="1"/>
  <c r="B43" i="18"/>
  <c r="H45" i="18"/>
  <c r="H31" i="18" s="1"/>
  <c r="N45" i="18"/>
  <c r="N31" i="18" s="1"/>
  <c r="B45" i="18"/>
  <c r="B31" i="18" s="1"/>
  <c r="L45" i="18"/>
  <c r="L31" i="18" s="1"/>
  <c r="L51" i="18" l="1"/>
  <c r="L52" i="18" s="1"/>
  <c r="L18" i="18" s="1"/>
  <c r="J51" i="18"/>
  <c r="J52" i="18" s="1"/>
  <c r="J18" i="18" s="1"/>
  <c r="D51" i="18"/>
  <c r="D52" i="18" s="1"/>
  <c r="D18" i="18" s="1"/>
  <c r="N51" i="18"/>
  <c r="N52" i="18" s="1"/>
  <c r="N18" i="18" s="1"/>
  <c r="O18" i="18" s="1"/>
  <c r="B51" i="18"/>
  <c r="B52" i="18" s="1"/>
  <c r="B18" i="18" s="1"/>
  <c r="H51" i="18"/>
  <c r="H52" i="18" s="1"/>
  <c r="H18" i="18" s="1"/>
  <c r="F51" i="18"/>
  <c r="F52" i="18" s="1"/>
  <c r="F18" i="18" s="1"/>
  <c r="C75" i="13" l="1"/>
  <c r="F70" i="13"/>
  <c r="J70" i="13" s="1"/>
  <c r="B49" i="13" s="1"/>
  <c r="J44" i="13"/>
  <c r="F44" i="13"/>
  <c r="D44" i="13"/>
  <c r="B44" i="13"/>
  <c r="B41" i="13"/>
  <c r="O9" i="13"/>
  <c r="N44" i="13" s="1"/>
  <c r="M9" i="13"/>
  <c r="L44" i="13" s="1"/>
  <c r="I9" i="13"/>
  <c r="H44" i="13" s="1"/>
  <c r="E1" i="13"/>
  <c r="D74" i="13" s="1"/>
  <c r="C75" i="12"/>
  <c r="F70" i="12"/>
  <c r="J70" i="12" s="1"/>
  <c r="B49" i="12" s="1"/>
  <c r="J44" i="12"/>
  <c r="F44" i="12"/>
  <c r="D44" i="12"/>
  <c r="B44" i="12"/>
  <c r="B41" i="12"/>
  <c r="O9" i="12"/>
  <c r="N44" i="12" s="1"/>
  <c r="M9" i="12"/>
  <c r="L44" i="12" s="1"/>
  <c r="I9" i="12"/>
  <c r="H44" i="12" s="1"/>
  <c r="E1" i="12"/>
  <c r="D74" i="12" s="1"/>
  <c r="B42" i="12" l="1"/>
  <c r="H45" i="12" s="1"/>
  <c r="H31" i="12" s="1"/>
  <c r="B42" i="13"/>
  <c r="N45" i="13" s="1"/>
  <c r="N31" i="13" s="1"/>
  <c r="B50" i="13"/>
  <c r="C74" i="13"/>
  <c r="B50" i="12"/>
  <c r="C74" i="12"/>
  <c r="F45" i="12" l="1"/>
  <c r="F31" i="12" s="1"/>
  <c r="N45" i="12"/>
  <c r="N31" i="12" s="1"/>
  <c r="J45" i="12"/>
  <c r="J31" i="12" s="1"/>
  <c r="L45" i="12"/>
  <c r="L31" i="12" s="1"/>
  <c r="B45" i="12"/>
  <c r="B31" i="12" s="1"/>
  <c r="D45" i="12"/>
  <c r="D31" i="12" s="1"/>
  <c r="B43" i="12"/>
  <c r="J51" i="12" s="1"/>
  <c r="J52" i="12" s="1"/>
  <c r="J18" i="12" s="1"/>
  <c r="F45" i="13"/>
  <c r="F31" i="13" s="1"/>
  <c r="H45" i="13"/>
  <c r="H31" i="13" s="1"/>
  <c r="J45" i="13"/>
  <c r="J31" i="13" s="1"/>
  <c r="L45" i="13"/>
  <c r="L31" i="13" s="1"/>
  <c r="B43" i="13"/>
  <c r="D51" i="13" s="1"/>
  <c r="D52" i="13" s="1"/>
  <c r="D18" i="13" s="1"/>
  <c r="D45" i="13"/>
  <c r="D31" i="13" s="1"/>
  <c r="B45" i="13"/>
  <c r="B31" i="13" s="1"/>
  <c r="L51" i="12" l="1"/>
  <c r="L52" i="12" s="1"/>
  <c r="L18" i="12" s="1"/>
  <c r="N51" i="12"/>
  <c r="N52" i="12" s="1"/>
  <c r="N18" i="12" s="1"/>
  <c r="O18" i="12" s="1"/>
  <c r="H51" i="12"/>
  <c r="H52" i="12" s="1"/>
  <c r="H18" i="12" s="1"/>
  <c r="D51" i="12"/>
  <c r="D52" i="12" s="1"/>
  <c r="D18" i="12" s="1"/>
  <c r="B51" i="12"/>
  <c r="B52" i="12" s="1"/>
  <c r="B18" i="12" s="1"/>
  <c r="F51" i="12"/>
  <c r="F52" i="12" s="1"/>
  <c r="F18" i="12" s="1"/>
  <c r="B51" i="13"/>
  <c r="B52" i="13" s="1"/>
  <c r="B18" i="13" s="1"/>
  <c r="L51" i="13"/>
  <c r="L52" i="13" s="1"/>
  <c r="L18" i="13" s="1"/>
  <c r="H51" i="13"/>
  <c r="H52" i="13" s="1"/>
  <c r="H18" i="13" s="1"/>
  <c r="F51" i="13"/>
  <c r="F52" i="13" s="1"/>
  <c r="F18" i="13" s="1"/>
  <c r="J51" i="13"/>
  <c r="J52" i="13" s="1"/>
  <c r="J18" i="13" s="1"/>
  <c r="N51" i="13"/>
  <c r="N52" i="13" s="1"/>
  <c r="N18" i="13" s="1"/>
  <c r="O18" i="13" s="1"/>
  <c r="C75" i="8" l="1"/>
  <c r="F70" i="8"/>
  <c r="J70" i="8" s="1"/>
  <c r="B49" i="8" s="1"/>
  <c r="J44" i="8"/>
  <c r="F44" i="8"/>
  <c r="D44" i="8"/>
  <c r="B44" i="8"/>
  <c r="B41" i="8"/>
  <c r="O9" i="8"/>
  <c r="N44" i="8" s="1"/>
  <c r="M9" i="8"/>
  <c r="L44" i="8" s="1"/>
  <c r="I9" i="8"/>
  <c r="H44" i="8" s="1"/>
  <c r="E1" i="8"/>
  <c r="C74" i="8" s="1"/>
  <c r="B42" i="8" l="1"/>
  <c r="L45" i="8" s="1"/>
  <c r="L31" i="8" s="1"/>
  <c r="B50" i="8"/>
  <c r="D74" i="8"/>
  <c r="C75" i="7"/>
  <c r="F70" i="7"/>
  <c r="J70" i="7" s="1"/>
  <c r="B49" i="7" s="1"/>
  <c r="J44" i="7"/>
  <c r="F44" i="7"/>
  <c r="D44" i="7"/>
  <c r="B44" i="7"/>
  <c r="B41" i="7"/>
  <c r="O9" i="7"/>
  <c r="N44" i="7" s="1"/>
  <c r="M9" i="7"/>
  <c r="L44" i="7" s="1"/>
  <c r="I9" i="7"/>
  <c r="H44" i="7" s="1"/>
  <c r="E1" i="7"/>
  <c r="D74" i="7" s="1"/>
  <c r="C75" i="6"/>
  <c r="F70" i="6"/>
  <c r="J70" i="6" s="1"/>
  <c r="B49" i="6" s="1"/>
  <c r="J44" i="6"/>
  <c r="F44" i="6"/>
  <c r="D44" i="6"/>
  <c r="B44" i="6"/>
  <c r="B41" i="6"/>
  <c r="O9" i="6"/>
  <c r="N44" i="6" s="1"/>
  <c r="M9" i="6"/>
  <c r="L44" i="6" s="1"/>
  <c r="I9" i="6"/>
  <c r="H44" i="6" s="1"/>
  <c r="E1" i="6"/>
  <c r="D74" i="6" s="1"/>
  <c r="J45" i="8" l="1"/>
  <c r="J31" i="8" s="1"/>
  <c r="D45" i="8"/>
  <c r="D31" i="8" s="1"/>
  <c r="B43" i="8"/>
  <c r="J51" i="8" s="1"/>
  <c r="J52" i="8" s="1"/>
  <c r="J18" i="8" s="1"/>
  <c r="B42" i="7"/>
  <c r="L45" i="7" s="1"/>
  <c r="L31" i="7" s="1"/>
  <c r="F45" i="8"/>
  <c r="F31" i="8" s="1"/>
  <c r="H45" i="8"/>
  <c r="H31" i="8" s="1"/>
  <c r="B42" i="6"/>
  <c r="H45" i="6" s="1"/>
  <c r="H31" i="6" s="1"/>
  <c r="B50" i="7"/>
  <c r="N45" i="8"/>
  <c r="N31" i="8" s="1"/>
  <c r="B45" i="8"/>
  <c r="B31" i="8" s="1"/>
  <c r="C74" i="7"/>
  <c r="B50" i="6"/>
  <c r="C74" i="6"/>
  <c r="F45" i="7" l="1"/>
  <c r="F31" i="7" s="1"/>
  <c r="B45" i="7"/>
  <c r="B31" i="7" s="1"/>
  <c r="N51" i="8"/>
  <c r="N52" i="8" s="1"/>
  <c r="N18" i="8" s="1"/>
  <c r="O18" i="8" s="1"/>
  <c r="J45" i="6"/>
  <c r="J31" i="6" s="1"/>
  <c r="H45" i="7"/>
  <c r="H31" i="7" s="1"/>
  <c r="D51" i="8"/>
  <c r="D52" i="8" s="1"/>
  <c r="D18" i="8" s="1"/>
  <c r="J45" i="7"/>
  <c r="J31" i="7" s="1"/>
  <c r="B45" i="6"/>
  <c r="B31" i="6" s="1"/>
  <c r="D45" i="7"/>
  <c r="D31" i="7" s="1"/>
  <c r="L51" i="8"/>
  <c r="L52" i="8" s="1"/>
  <c r="L18" i="8" s="1"/>
  <c r="N45" i="7"/>
  <c r="N31" i="7" s="1"/>
  <c r="L45" i="6"/>
  <c r="L31" i="6" s="1"/>
  <c r="N45" i="6"/>
  <c r="N31" i="6" s="1"/>
  <c r="B43" i="7"/>
  <c r="L51" i="7" s="1"/>
  <c r="L52" i="7" s="1"/>
  <c r="L18" i="7" s="1"/>
  <c r="F51" i="8"/>
  <c r="F52" i="8" s="1"/>
  <c r="F18" i="8" s="1"/>
  <c r="B51" i="8"/>
  <c r="B52" i="8" s="1"/>
  <c r="B18" i="8" s="1"/>
  <c r="H51" i="8"/>
  <c r="H52" i="8" s="1"/>
  <c r="H18" i="8" s="1"/>
  <c r="D45" i="6"/>
  <c r="D31" i="6" s="1"/>
  <c r="B43" i="6"/>
  <c r="J51" i="6" s="1"/>
  <c r="J52" i="6" s="1"/>
  <c r="J18" i="6" s="1"/>
  <c r="F45" i="6"/>
  <c r="F31" i="6" s="1"/>
  <c r="B51" i="7" l="1"/>
  <c r="B52" i="7" s="1"/>
  <c r="B18" i="7" s="1"/>
  <c r="L51" i="6"/>
  <c r="L52" i="6" s="1"/>
  <c r="L18" i="6" s="1"/>
  <c r="F51" i="7"/>
  <c r="F52" i="7" s="1"/>
  <c r="F18" i="7" s="1"/>
  <c r="B51" i="6"/>
  <c r="B52" i="6" s="1"/>
  <c r="B18" i="6" s="1"/>
  <c r="H51" i="6"/>
  <c r="H52" i="6" s="1"/>
  <c r="H18" i="6" s="1"/>
  <c r="N51" i="6"/>
  <c r="N52" i="6" s="1"/>
  <c r="N18" i="6" s="1"/>
  <c r="O18" i="6" s="1"/>
  <c r="N51" i="7"/>
  <c r="N52" i="7" s="1"/>
  <c r="N18" i="7" s="1"/>
  <c r="O18" i="7" s="1"/>
  <c r="D51" i="7"/>
  <c r="D52" i="7" s="1"/>
  <c r="D18" i="7" s="1"/>
  <c r="J51" i="7"/>
  <c r="J52" i="7" s="1"/>
  <c r="J18" i="7" s="1"/>
  <c r="H51" i="7"/>
  <c r="H52" i="7" s="1"/>
  <c r="H18" i="7" s="1"/>
  <c r="D51" i="6"/>
  <c r="D52" i="6" s="1"/>
  <c r="D18" i="6" s="1"/>
  <c r="F51" i="6"/>
  <c r="F52" i="6" s="1"/>
  <c r="F18" i="6" s="1"/>
</calcChain>
</file>

<file path=xl/sharedStrings.xml><?xml version="1.0" encoding="utf-8"?>
<sst xmlns="http://schemas.openxmlformats.org/spreadsheetml/2006/main" count="7926" uniqueCount="621">
  <si>
    <t>Team</t>
  </si>
  <si>
    <t xml:space="preserve">FO </t>
    <phoneticPr fontId="8" type="noConversion"/>
  </si>
  <si>
    <t>SMM</t>
    <phoneticPr fontId="8" type="noConversion"/>
  </si>
  <si>
    <t>SFM</t>
    <phoneticPr fontId="9" type="noConversion"/>
  </si>
  <si>
    <t>GMC</t>
    <phoneticPr fontId="9" type="noConversion"/>
  </si>
  <si>
    <t>MC</t>
    <phoneticPr fontId="8" type="noConversion"/>
  </si>
  <si>
    <t>CPPC &amp; NSM</t>
    <phoneticPr fontId="4" type="noConversion"/>
  </si>
  <si>
    <t>DRO</t>
    <phoneticPr fontId="4" type="noConversion"/>
  </si>
  <si>
    <t>OPD</t>
    <phoneticPr fontId="9" type="noConversion"/>
  </si>
  <si>
    <t>MSC</t>
    <phoneticPr fontId="9" type="noConversion"/>
  </si>
  <si>
    <t>Gait Lab</t>
  </si>
  <si>
    <t>PT</t>
    <phoneticPr fontId="9" type="noConversion"/>
  </si>
  <si>
    <t>Ivan</t>
    <phoneticPr fontId="4" type="noConversion"/>
  </si>
  <si>
    <t>Katie</t>
    <phoneticPr fontId="4" type="noConversion"/>
  </si>
  <si>
    <t>Cherry</t>
    <phoneticPr fontId="4" type="noConversion"/>
  </si>
  <si>
    <t>Amanda</t>
    <phoneticPr fontId="4" type="noConversion"/>
  </si>
  <si>
    <t>Harry</t>
    <phoneticPr fontId="4" type="noConversion"/>
  </si>
  <si>
    <t>Katie AM FO +/- 0.25 PM, Vincent Lam every Fri 0.75 (preferably GMC/CPPC)</t>
    <phoneticPr fontId="4" type="noConversion"/>
  </si>
  <si>
    <t>Sam</t>
    <phoneticPr fontId="4" type="noConversion"/>
  </si>
  <si>
    <t>Ken Tung</t>
    <phoneticPr fontId="4" type="noConversion"/>
  </si>
  <si>
    <t>Kin</t>
    <phoneticPr fontId="4" type="noConversion"/>
  </si>
  <si>
    <t>Ivy</t>
    <phoneticPr fontId="4" type="noConversion"/>
  </si>
  <si>
    <t>Aster</t>
    <phoneticPr fontId="4" type="noConversion"/>
  </si>
  <si>
    <t>Yannis</t>
    <phoneticPr fontId="4" type="noConversion"/>
  </si>
  <si>
    <t>Tiffany</t>
    <phoneticPr fontId="4" type="noConversion"/>
  </si>
  <si>
    <t>Wilson</t>
    <phoneticPr fontId="4" type="noConversion"/>
  </si>
  <si>
    <t>Tim</t>
    <phoneticPr fontId="4" type="noConversion"/>
  </si>
  <si>
    <t>Lucas</t>
    <phoneticPr fontId="4" type="noConversion"/>
  </si>
  <si>
    <t>Hang</t>
    <phoneticPr fontId="4" type="noConversion"/>
  </si>
  <si>
    <t>Eric Mon 0.5 AM
Aggie Wed CRP_8 beds</t>
    <phoneticPr fontId="4" type="noConversion"/>
  </si>
  <si>
    <t>Manfield (Nil RBIP duty since march 2025)</t>
    <phoneticPr fontId="4" type="noConversion"/>
  </si>
  <si>
    <t>Julie</t>
    <phoneticPr fontId="4" type="noConversion"/>
  </si>
  <si>
    <t>Derek</t>
    <phoneticPr fontId="4" type="noConversion"/>
  </si>
  <si>
    <t>Oscar</t>
    <phoneticPr fontId="4" type="noConversion"/>
  </si>
  <si>
    <t>Stella</t>
    <phoneticPr fontId="4" type="noConversion"/>
  </si>
  <si>
    <t>Dewey</t>
    <phoneticPr fontId="4" type="noConversion"/>
  </si>
  <si>
    <t>PM</t>
    <phoneticPr fontId="4" type="noConversion"/>
  </si>
  <si>
    <t>Trinity</t>
    <phoneticPr fontId="4" type="noConversion"/>
  </si>
  <si>
    <t>Jeff</t>
    <phoneticPr fontId="4" type="noConversion"/>
  </si>
  <si>
    <t>AM</t>
    <phoneticPr fontId="4" type="noConversion"/>
  </si>
  <si>
    <t>浩然 update robotics</t>
    <phoneticPr fontId="4" type="noConversion"/>
  </si>
  <si>
    <t>Alvin Mon-Wed in April</t>
    <phoneticPr fontId="4" type="noConversion"/>
  </si>
  <si>
    <t>Eric Tse</t>
    <phoneticPr fontId="4" type="noConversion"/>
  </si>
  <si>
    <t>Alex</t>
    <phoneticPr fontId="4" type="noConversion"/>
  </si>
  <si>
    <t>Man</t>
    <phoneticPr fontId="4" type="noConversion"/>
  </si>
  <si>
    <t xml:space="preserve">       </t>
    <phoneticPr fontId="4" type="noConversion"/>
  </si>
  <si>
    <t>Base 0 leave</t>
    <phoneticPr fontId="4" type="noConversion"/>
  </si>
  <si>
    <t>Becky</t>
    <phoneticPr fontId="4" type="noConversion"/>
  </si>
  <si>
    <t>Wallace</t>
    <phoneticPr fontId="4" type="noConversion"/>
  </si>
  <si>
    <t>Eric  Li</t>
    <phoneticPr fontId="4" type="noConversion"/>
  </si>
  <si>
    <t>Connie</t>
    <phoneticPr fontId="4" type="noConversion"/>
  </si>
  <si>
    <t>Alphonse</t>
    <phoneticPr fontId="4" type="noConversion"/>
  </si>
  <si>
    <t>Special program</t>
    <phoneticPr fontId="4" type="noConversion"/>
  </si>
  <si>
    <t>CRP</t>
    <phoneticPr fontId="4" type="noConversion"/>
  </si>
  <si>
    <t>DRM</t>
    <phoneticPr fontId="8" type="noConversion"/>
  </si>
  <si>
    <t>光劭</t>
    <phoneticPr fontId="4" type="noConversion"/>
  </si>
  <si>
    <t>Rainy</t>
    <phoneticPr fontId="4" type="noConversion"/>
  </si>
  <si>
    <t>Billy</t>
    <phoneticPr fontId="4" type="noConversion"/>
  </si>
  <si>
    <t xml:space="preserve">Supporting </t>
    <phoneticPr fontId="8" type="noConversion"/>
  </si>
  <si>
    <t>Whole day</t>
    <phoneticPr fontId="4" type="noConversion"/>
  </si>
  <si>
    <t>明</t>
    <phoneticPr fontId="4" type="noConversion"/>
  </si>
  <si>
    <t>桂花</t>
  </si>
  <si>
    <t xml:space="preserve">婉儀 </t>
    <phoneticPr fontId="4" type="noConversion"/>
  </si>
  <si>
    <t>少華</t>
    <phoneticPr fontId="4" type="noConversion"/>
  </si>
  <si>
    <t xml:space="preserve">張麗 </t>
  </si>
  <si>
    <t>秋</t>
    <phoneticPr fontId="4" type="noConversion"/>
  </si>
  <si>
    <t>浩然</t>
    <phoneticPr fontId="4" type="noConversion"/>
  </si>
  <si>
    <t>友好</t>
    <phoneticPr fontId="4" type="noConversion"/>
  </si>
  <si>
    <t>聞俊</t>
    <phoneticPr fontId="4" type="noConversion"/>
  </si>
  <si>
    <t>巧兒</t>
    <phoneticPr fontId="4" type="noConversion"/>
  </si>
  <si>
    <t>AM, 1500-1630</t>
    <phoneticPr fontId="4" type="noConversion"/>
  </si>
  <si>
    <t>麗雅</t>
    <phoneticPr fontId="4" type="noConversion"/>
  </si>
  <si>
    <t>1330-1500</t>
    <phoneticPr fontId="4" type="noConversion"/>
  </si>
  <si>
    <t xml:space="preserve">淑貞 </t>
    <phoneticPr fontId="4" type="noConversion"/>
  </si>
  <si>
    <t>1030-1200</t>
    <phoneticPr fontId="4" type="noConversion"/>
  </si>
  <si>
    <t>桂花</t>
    <phoneticPr fontId="4" type="noConversion"/>
  </si>
  <si>
    <t>Eunice</t>
    <phoneticPr fontId="4" type="noConversion"/>
  </si>
  <si>
    <t>荿萍</t>
    <phoneticPr fontId="4" type="noConversion"/>
  </si>
  <si>
    <t>1500-1630</t>
    <phoneticPr fontId="4" type="noConversion"/>
  </si>
  <si>
    <t>寶華</t>
    <phoneticPr fontId="4" type="noConversion"/>
  </si>
  <si>
    <t>Po Shan</t>
    <phoneticPr fontId="4" type="noConversion"/>
  </si>
  <si>
    <t>.</t>
    <phoneticPr fontId="4" type="noConversion"/>
  </si>
  <si>
    <t>張麗</t>
    <phoneticPr fontId="4" type="noConversion"/>
  </si>
  <si>
    <t>Pu Na</t>
    <phoneticPr fontId="4" type="noConversion"/>
  </si>
  <si>
    <t>秀芬</t>
    <phoneticPr fontId="4" type="noConversion"/>
  </si>
  <si>
    <t>AM Robotic</t>
    <phoneticPr fontId="4" type="noConversion"/>
  </si>
  <si>
    <t>PM Robotic</t>
    <phoneticPr fontId="4" type="noConversion"/>
  </si>
  <si>
    <t>0900-1030</t>
    <phoneticPr fontId="4" type="noConversion"/>
  </si>
  <si>
    <r>
      <rPr>
        <sz val="36"/>
        <color rgb="FF000000"/>
        <rFont val="細明體"/>
        <family val="3"/>
        <charset val="136"/>
      </rPr>
      <t>子健</t>
    </r>
    <phoneticPr fontId="4" type="noConversion"/>
  </si>
  <si>
    <r>
      <rPr>
        <sz val="36"/>
        <rFont val="Malgun Gothic Semilight"/>
        <family val="2"/>
        <charset val="136"/>
      </rPr>
      <t>銘淇</t>
    </r>
    <phoneticPr fontId="4" type="noConversion"/>
  </si>
  <si>
    <t>SHS:  / 
PCA: /</t>
    <phoneticPr fontId="4" type="noConversion"/>
  </si>
  <si>
    <t>```````````</t>
    <phoneticPr fontId="4" type="noConversion"/>
  </si>
  <si>
    <t>```````</t>
    <phoneticPr fontId="4" type="noConversion"/>
  </si>
  <si>
    <r>
      <t xml:space="preserve">Double check in morning                          </t>
    </r>
    <r>
      <rPr>
        <b/>
        <sz val="60"/>
        <color rgb="FFFF0000"/>
        <rFont val="Times New Roman"/>
        <family val="1"/>
      </rPr>
      <t>SHS 4 CASES   !!!!!!!!!!!!!!!!!!!!</t>
    </r>
    <phoneticPr fontId="4" type="noConversion"/>
  </si>
  <si>
    <r>
      <rPr>
        <sz val="34"/>
        <rFont val="新細明體"/>
        <family val="2"/>
        <charset val="136"/>
      </rPr>
      <t>秋</t>
    </r>
    <phoneticPr fontId="4" type="noConversion"/>
  </si>
  <si>
    <t>x</t>
    <phoneticPr fontId="4" type="noConversion"/>
  </si>
  <si>
    <r>
      <rPr>
        <sz val="34"/>
        <color theme="1"/>
        <rFont val="新細明體"/>
        <family val="2"/>
        <charset val="136"/>
      </rPr>
      <t>高玲</t>
    </r>
    <phoneticPr fontId="8" type="noConversion"/>
  </si>
  <si>
    <r>
      <rPr>
        <sz val="34"/>
        <color theme="1"/>
        <rFont val="新細明體"/>
        <family val="2"/>
        <charset val="136"/>
      </rPr>
      <t>張麗</t>
    </r>
    <phoneticPr fontId="4" type="noConversion"/>
  </si>
  <si>
    <r>
      <rPr>
        <sz val="28"/>
        <color theme="1"/>
        <rFont val="細明體"/>
        <family val="3"/>
        <charset val="136"/>
      </rPr>
      <t>張麗</t>
    </r>
    <phoneticPr fontId="4" type="noConversion"/>
  </si>
  <si>
    <t>VL</t>
    <phoneticPr fontId="4" type="noConversion"/>
  </si>
  <si>
    <t>Harry Yip</t>
    <phoneticPr fontId="4" type="noConversion"/>
  </si>
  <si>
    <t>Sally</t>
    <phoneticPr fontId="4" type="noConversion"/>
  </si>
  <si>
    <t>Mon, Thu, Fri 1030-1200, Tue, Wed 0900-1030</t>
    <phoneticPr fontId="4" type="noConversion"/>
  </si>
  <si>
    <t>Thursday (0.25) depends</t>
    <phoneticPr fontId="4" type="noConversion"/>
  </si>
  <si>
    <t>NSM</t>
    <phoneticPr fontId="8" type="noConversion"/>
  </si>
  <si>
    <t>Robotic</t>
    <phoneticPr fontId="8" type="noConversion"/>
  </si>
  <si>
    <t>3,5  1445-1545</t>
    <phoneticPr fontId="8" type="noConversion"/>
  </si>
  <si>
    <t>Suspended until further notice</t>
    <phoneticPr fontId="4" type="noConversion"/>
  </si>
  <si>
    <t>Team:</t>
    <phoneticPr fontId="4" type="noConversion"/>
  </si>
  <si>
    <t>Wed:  Aggie (+ 8 beds)</t>
    <phoneticPr fontId="4" type="noConversion"/>
  </si>
  <si>
    <t>Thu / Fri:  Amanda</t>
    <phoneticPr fontId="4" type="noConversion"/>
  </si>
  <si>
    <t>SFM</t>
    <phoneticPr fontId="8" type="noConversion"/>
  </si>
  <si>
    <t>daily 1500-1630</t>
    <phoneticPr fontId="8" type="noConversion"/>
  </si>
  <si>
    <t>X</t>
    <phoneticPr fontId="4" type="noConversion"/>
  </si>
  <si>
    <t>Supporting</t>
    <phoneticPr fontId="4" type="noConversion"/>
  </si>
  <si>
    <t>Mon/Thur/Fri 1030-1200</t>
    <phoneticPr fontId="4" type="noConversion"/>
  </si>
  <si>
    <t>Tues/Wed 0900-1030</t>
    <phoneticPr fontId="4" type="noConversion"/>
  </si>
  <si>
    <t xml:space="preserve"> </t>
    <phoneticPr fontId="4" type="noConversion"/>
  </si>
  <si>
    <t>daily 1030-1200</t>
    <phoneticPr fontId="8" type="noConversion"/>
  </si>
  <si>
    <t>adult</t>
    <phoneticPr fontId="8" type="noConversion"/>
  </si>
  <si>
    <t>robotic</t>
    <phoneticPr fontId="8" type="noConversion"/>
  </si>
  <si>
    <t>9-1030 1,2,4</t>
    <phoneticPr fontId="8" type="noConversion"/>
  </si>
  <si>
    <t>PT 0.25 workload deducted</t>
    <phoneticPr fontId="4" type="noConversion"/>
  </si>
  <si>
    <t>paedi</t>
    <phoneticPr fontId="8" type="noConversion"/>
  </si>
  <si>
    <t>1330-1500  2,3,5</t>
    <phoneticPr fontId="8" type="noConversion"/>
  </si>
  <si>
    <t>Workman</t>
  </si>
  <si>
    <r>
      <rPr>
        <sz val="36"/>
        <rFont val="細明體"/>
        <family val="3"/>
        <charset val="136"/>
      </rPr>
      <t>遠香</t>
    </r>
    <phoneticPr fontId="8" type="noConversion"/>
  </si>
  <si>
    <r>
      <rPr>
        <sz val="36"/>
        <rFont val="細明體"/>
        <family val="3"/>
        <charset val="136"/>
      </rPr>
      <t>金姐</t>
    </r>
    <phoneticPr fontId="8" type="noConversion"/>
  </si>
  <si>
    <r>
      <rPr>
        <sz val="36"/>
        <rFont val="細明體"/>
        <family val="3"/>
        <charset val="136"/>
      </rPr>
      <t>潔萍</t>
    </r>
    <phoneticPr fontId="8" type="noConversion"/>
  </si>
  <si>
    <t>0830-1000 Robotic</t>
    <phoneticPr fontId="4" type="noConversion"/>
  </si>
  <si>
    <t xml:space="preserve">1,4 </t>
    <phoneticPr fontId="4" type="noConversion"/>
  </si>
  <si>
    <t>pending 2,5</t>
    <phoneticPr fontId="4" type="noConversion"/>
  </si>
  <si>
    <r>
      <rPr>
        <sz val="36"/>
        <rFont val="細明體"/>
        <family val="3"/>
        <charset val="136"/>
      </rPr>
      <t>巧兒</t>
    </r>
    <r>
      <rPr>
        <sz val="36"/>
        <rFont val="Times New Roman"/>
        <family val="1"/>
      </rPr>
      <t xml:space="preserve"> </t>
    </r>
    <phoneticPr fontId="8" type="noConversion"/>
  </si>
  <si>
    <t>1330-1500 Andago</t>
    <phoneticPr fontId="4" type="noConversion"/>
  </si>
  <si>
    <t>Andago</t>
    <phoneticPr fontId="4" type="noConversion"/>
  </si>
  <si>
    <t>Total no. of beds</t>
  </si>
  <si>
    <t>Total no. of PT on duty</t>
  </si>
  <si>
    <t>No. of bed per PT</t>
  </si>
  <si>
    <t>No. of PT of individual team</t>
  </si>
  <si>
    <t>No. of beds for relieving</t>
    <phoneticPr fontId="9" type="noConversion"/>
  </si>
  <si>
    <t>No. of beds per team</t>
  </si>
  <si>
    <t>CEU -8 beds</t>
    <phoneticPr fontId="4" type="noConversion"/>
  </si>
  <si>
    <t>Responsible wards of each team</t>
    <phoneticPr fontId="9" type="noConversion"/>
  </si>
  <si>
    <t>R11C, R11B</t>
    <phoneticPr fontId="9" type="noConversion"/>
  </si>
  <si>
    <t>R10A,  2/3 R8A</t>
    <phoneticPr fontId="9" type="noConversion"/>
  </si>
  <si>
    <t>R10C, 2/3 R9C</t>
    <phoneticPr fontId="8" type="noConversion"/>
  </si>
  <si>
    <t>R10B, 2/3 R8C</t>
    <phoneticPr fontId="8" type="noConversion"/>
  </si>
  <si>
    <t>R7C, 1/3 R8A, 1/3 R8C</t>
    <phoneticPr fontId="8" type="noConversion"/>
  </si>
  <si>
    <t>72 (68)</t>
    <phoneticPr fontId="4" type="noConversion"/>
  </si>
  <si>
    <t>R7B, R8B, R9A (R7B -5 until further notice)</t>
    <phoneticPr fontId="4" type="noConversion"/>
  </si>
  <si>
    <t>113 (110)</t>
    <phoneticPr fontId="4" type="noConversion"/>
  </si>
  <si>
    <t>R11A, 1/3 R9C</t>
    <phoneticPr fontId="4" type="noConversion"/>
  </si>
  <si>
    <t>8B, 8C, 9C</t>
    <phoneticPr fontId="4" type="noConversion"/>
  </si>
  <si>
    <t>Total no. of SS on duty</t>
    <phoneticPr fontId="9" type="noConversion"/>
  </si>
  <si>
    <t>Total no.of pt per SS</t>
    <phoneticPr fontId="9" type="noConversion"/>
  </si>
  <si>
    <t>Total no. of pt per team</t>
    <phoneticPr fontId="9" type="noConversion"/>
  </si>
  <si>
    <t>Average SS per team</t>
    <phoneticPr fontId="9" type="noConversion"/>
  </si>
  <si>
    <t>Remarks:</t>
  </si>
  <si>
    <r>
      <t xml:space="preserve">1. Total no. of SS on duty = </t>
    </r>
    <r>
      <rPr>
        <sz val="28"/>
        <color rgb="FFFF0000"/>
        <rFont val="Times New Roman"/>
        <family val="1"/>
      </rPr>
      <t xml:space="preserve">13 </t>
    </r>
    <r>
      <rPr>
        <sz val="28"/>
        <color rgb="FF000000"/>
        <rFont val="Times New Roman"/>
        <family val="1"/>
      </rPr>
      <t xml:space="preserve"> on Mon-Fri (Effective from 12/11/20), at least 1 SS per team over the whole day </t>
    </r>
    <phoneticPr fontId="4" type="noConversion"/>
  </si>
  <si>
    <t>2. Supporting staff for robotic : Mon, Tue &amp; Thur deduct 0.5 in total (0.25 for SOM: 1030-1230; 0.25 for SFM: 1500-1630); Wed &amp; Fri deduct 0.75 in total (0.25 for SOM: 1030-1230; 0.5 for SFM: 1330-1630)</t>
    <phoneticPr fontId="4" type="noConversion"/>
  </si>
  <si>
    <r>
      <t>3. Starting from 11 Oct 2016, PCA will relieve RBIP pm if no PCA of OPD on leave in either am/pm session.</t>
    </r>
    <r>
      <rPr>
        <b/>
        <sz val="28"/>
        <color rgb="FFFF0000"/>
        <rFont val="Times New Roman"/>
        <family val="1"/>
      </rPr>
      <t xml:space="preserve"> (suspend until further notice)</t>
    </r>
    <phoneticPr fontId="4" type="noConversion"/>
  </si>
  <si>
    <t>4. Starting from 8 Oct 2019, DRM (DRO) team deducts therapist manpower subject to weekly operational need; annd deducts SS manpower for 1330-1500 daily</t>
    <phoneticPr fontId="4" type="noConversion"/>
  </si>
  <si>
    <t xml:space="preserve">5. Starting from 14 Oct 2019 DRM (CRP) starts, deduce 0.4 therapist manpower from NSM team (Tue) and GMC team (Mon &amp; Fri), deduce 0.25 therapist manpower from NSM team (Thurs). </t>
    <phoneticPr fontId="8" type="noConversion"/>
  </si>
  <si>
    <t>6. Starting from 14 Oct 2019, DRM (CRP) starts, 0.25 SS manpower would be deducted for timeslot 0900-1030 (tue &amp; wed) or 1030-1200 (Mon, Thur, Fri)</t>
    <phoneticPr fontId="8" type="noConversion"/>
  </si>
  <si>
    <t>7. Starting from 16 Oct 2023, Eric TSE will stay in RBIP (AM) every Monday</t>
  </si>
  <si>
    <t>8. Starting from 3 April 2024, Aggie KWAN will stay in RBIP (AM) every Wednesday for CRP &amp; 5 medical beds.</t>
    <phoneticPr fontId="4" type="noConversion"/>
  </si>
  <si>
    <t xml:space="preserve">9. Starting from Dec 2024, Katie FAN takes 0.5 RBIP duty. </t>
    <phoneticPr fontId="4" type="noConversion"/>
  </si>
  <si>
    <t>10. Starting from Jan 2025, Vincent LAM will stay RBIP every Friday</t>
    <phoneticPr fontId="4" type="noConversion"/>
  </si>
  <si>
    <t>11. Starting from Jan 2025, Manfield CHAN will stay RBIP (AM) every Thursday for neuro service</t>
    <phoneticPr fontId="4" type="noConversion"/>
  </si>
  <si>
    <t>Last Updated by time:</t>
  </si>
  <si>
    <t>SS formula</t>
    <phoneticPr fontId="4" type="noConversion"/>
  </si>
  <si>
    <t>Robotics / Andago</t>
    <phoneticPr fontId="4" type="noConversion"/>
  </si>
  <si>
    <t>J duty</t>
    <phoneticPr fontId="4" type="noConversion"/>
  </si>
  <si>
    <t>SS VL/ SL</t>
    <phoneticPr fontId="4" type="noConversion"/>
  </si>
  <si>
    <t>I team</t>
    <phoneticPr fontId="4" type="noConversion"/>
  </si>
  <si>
    <t>OPD buffer</t>
    <phoneticPr fontId="4" type="noConversion"/>
  </si>
  <si>
    <t>SS deducted</t>
    <phoneticPr fontId="4" type="noConversion"/>
  </si>
  <si>
    <t>GDH buffer</t>
    <phoneticPr fontId="4" type="noConversion"/>
  </si>
  <si>
    <t>0</t>
  </si>
  <si>
    <t>DO NOT DELETE</t>
    <phoneticPr fontId="4" type="noConversion"/>
  </si>
  <si>
    <t>No duty</t>
    <phoneticPr fontId="4" type="noConversion"/>
  </si>
  <si>
    <t>normal robotic</t>
    <phoneticPr fontId="4" type="noConversion"/>
  </si>
  <si>
    <t>robotic w/ SMM</t>
    <phoneticPr fontId="4" type="noConversion"/>
  </si>
  <si>
    <t>since May</t>
    <phoneticPr fontId="4" type="noConversion"/>
  </si>
  <si>
    <t xml:space="preserve">every 1 4 </t>
    <phoneticPr fontId="4" type="noConversion"/>
  </si>
  <si>
    <t>minus 0.25 PCA for Sam Wan OPD case</t>
    <phoneticPr fontId="4" type="noConversion"/>
  </si>
  <si>
    <t>Sam Wan 0.25 at FO team</t>
    <phoneticPr fontId="4" type="noConversion"/>
  </si>
  <si>
    <t>Wednesday minus 0.25 for robotic pca (no robotic 0900-1030)</t>
    <phoneticPr fontId="4" type="noConversion"/>
  </si>
  <si>
    <t>0.5 AM</t>
    <phoneticPr fontId="4" type="noConversion"/>
  </si>
  <si>
    <t xml:space="preserve">君 </t>
    <phoneticPr fontId="4" type="noConversion"/>
  </si>
  <si>
    <t xml:space="preserve">明 </t>
    <phoneticPr fontId="4" type="noConversion"/>
  </si>
  <si>
    <t>0900-1030, PM</t>
    <phoneticPr fontId="4" type="noConversion"/>
  </si>
  <si>
    <t>0.5AM</t>
    <phoneticPr fontId="4" type="noConversion"/>
  </si>
  <si>
    <t>光劭</t>
  </si>
  <si>
    <t>0900-1030, 1330-1500</t>
    <phoneticPr fontId="4" type="noConversion"/>
  </si>
  <si>
    <t>updated by Tim on 31/7/2025</t>
    <phoneticPr fontId="8" type="noConversion"/>
  </si>
  <si>
    <t>Jackie</t>
    <phoneticPr fontId="4" type="noConversion"/>
  </si>
  <si>
    <t>Mon / Tue:: Becky Law</t>
    <phoneticPr fontId="4" type="noConversion"/>
  </si>
  <si>
    <t>Bonnie</t>
    <phoneticPr fontId="4" type="noConversion"/>
  </si>
  <si>
    <t xml:space="preserve">高玲 </t>
    <phoneticPr fontId="4" type="noConversion"/>
  </si>
  <si>
    <t xml:space="preserve">友好 </t>
    <phoneticPr fontId="4" type="noConversion"/>
  </si>
  <si>
    <t>0900-1630</t>
    <phoneticPr fontId="4" type="noConversion"/>
  </si>
  <si>
    <t xml:space="preserve">友好 </t>
  </si>
  <si>
    <t>AM, 1330-1500</t>
    <phoneticPr fontId="4" type="noConversion"/>
  </si>
  <si>
    <t>麗雅</t>
  </si>
  <si>
    <t>浩然</t>
  </si>
  <si>
    <t xml:space="preserve">婉儀  </t>
    <phoneticPr fontId="4" type="noConversion"/>
  </si>
  <si>
    <t>宛諭 VL</t>
    <phoneticPr fontId="4" type="noConversion"/>
  </si>
  <si>
    <t>1500-1630 Robotic</t>
    <phoneticPr fontId="4" type="noConversion"/>
  </si>
  <si>
    <t xml:space="preserve"> Katie 0.5AM</t>
    <phoneticPr fontId="4" type="noConversion"/>
  </si>
  <si>
    <t xml:space="preserve">君   </t>
    <phoneticPr fontId="4" type="noConversion"/>
  </si>
  <si>
    <t>浩然 AM VL</t>
    <phoneticPr fontId="4" type="noConversion"/>
  </si>
  <si>
    <t xml:space="preserve">宛諭 </t>
    <phoneticPr fontId="4" type="noConversion"/>
  </si>
  <si>
    <t>Whole Day</t>
    <phoneticPr fontId="4" type="noConversion"/>
  </si>
  <si>
    <r>
      <t xml:space="preserve">12-2pm </t>
    </r>
    <r>
      <rPr>
        <sz val="48"/>
        <color rgb="FF000000"/>
        <rFont val="細明體"/>
        <family val="3"/>
        <charset val="136"/>
      </rPr>
      <t>中華狀元擂台戰</t>
    </r>
    <phoneticPr fontId="4" type="noConversion"/>
  </si>
  <si>
    <t>0830-1300 CMC BLS</t>
    <phoneticPr fontId="4" type="noConversion"/>
  </si>
  <si>
    <t>Amanda</t>
  </si>
  <si>
    <t>君   VL</t>
  </si>
  <si>
    <t xml:space="preserve">浩然 </t>
  </si>
  <si>
    <t xml:space="preserve">宛諭 </t>
  </si>
  <si>
    <t>1330-1500</t>
  </si>
  <si>
    <t>PM Robotic</t>
  </si>
  <si>
    <t xml:space="preserve"> Katie 9:30am CMC meeting</t>
    <phoneticPr fontId="4" type="noConversion"/>
  </si>
  <si>
    <t>高玲 3:45 PM FU</t>
    <phoneticPr fontId="4" type="noConversion"/>
  </si>
  <si>
    <t>AM, 1330-1545</t>
    <phoneticPr fontId="4" type="noConversion"/>
  </si>
  <si>
    <t>1030-1200, PM</t>
    <phoneticPr fontId="4" type="noConversion"/>
  </si>
  <si>
    <t>少華 1630 TIL</t>
    <phoneticPr fontId="4" type="noConversion"/>
  </si>
  <si>
    <t>秋 9am acc FU</t>
    <phoneticPr fontId="4" type="noConversion"/>
  </si>
  <si>
    <t>14/8/25 0.25cppc 21/8/25 0.25 gmc 28/8/25 0.25 cppc</t>
    <phoneticPr fontId="4" type="noConversion"/>
  </si>
  <si>
    <t>0.5am</t>
    <phoneticPr fontId="4" type="noConversion"/>
  </si>
  <si>
    <t>0.25pm</t>
    <phoneticPr fontId="4" type="noConversion"/>
  </si>
  <si>
    <t>Vincent LAM VL Katie 0.75</t>
    <phoneticPr fontId="4" type="noConversion"/>
  </si>
  <si>
    <t>高玲 4PM TST FU</t>
    <phoneticPr fontId="4" type="noConversion"/>
  </si>
  <si>
    <t>光劭 PM TIL</t>
    <phoneticPr fontId="4" type="noConversion"/>
  </si>
  <si>
    <t>高玲 (0.65)</t>
    <phoneticPr fontId="4" type="noConversion"/>
  </si>
  <si>
    <t>AM, 1330-1430</t>
    <phoneticPr fontId="4" type="noConversion"/>
  </si>
  <si>
    <t xml:space="preserve">少華 </t>
    <phoneticPr fontId="4" type="noConversion"/>
  </si>
  <si>
    <t xml:space="preserve">秋 </t>
    <phoneticPr fontId="4" type="noConversion"/>
  </si>
  <si>
    <t>TIL</t>
    <phoneticPr fontId="4" type="noConversion"/>
  </si>
  <si>
    <t>PM ICF seminar</t>
    <phoneticPr fontId="4" type="noConversion"/>
  </si>
  <si>
    <t>君   VL</t>
    <phoneticPr fontId="4" type="noConversion"/>
  </si>
  <si>
    <t xml:space="preserve">Tiffany </t>
    <phoneticPr fontId="4" type="noConversion"/>
  </si>
  <si>
    <t>SL</t>
    <phoneticPr fontId="4" type="noConversion"/>
  </si>
  <si>
    <t>Sally Yip</t>
    <phoneticPr fontId="4" type="noConversion"/>
  </si>
  <si>
    <t>(CEU-5)</t>
    <phoneticPr fontId="4" type="noConversion"/>
  </si>
  <si>
    <t xml:space="preserve">Dewey </t>
    <phoneticPr fontId="4" type="noConversion"/>
  </si>
  <si>
    <t>Katie VL</t>
    <phoneticPr fontId="4" type="noConversion"/>
  </si>
  <si>
    <t>浩然 0900-1030 no robotic</t>
    <phoneticPr fontId="4" type="noConversion"/>
  </si>
  <si>
    <t>1030-1200, 1500-1630</t>
    <phoneticPr fontId="4" type="noConversion"/>
  </si>
  <si>
    <t xml:space="preserve">浩然 </t>
    <phoneticPr fontId="4" type="noConversion"/>
  </si>
  <si>
    <t>4pm NTWC Physiotherapy Research and Training Committee meeting</t>
    <phoneticPr fontId="4" type="noConversion"/>
  </si>
  <si>
    <t>SFM</t>
    <phoneticPr fontId="4" type="noConversion"/>
  </si>
  <si>
    <t>10 cases</t>
    <phoneticPr fontId="4" type="noConversion"/>
  </si>
  <si>
    <t>CPPC</t>
    <phoneticPr fontId="4" type="noConversion"/>
  </si>
  <si>
    <t>14cases</t>
    <phoneticPr fontId="4" type="noConversion"/>
  </si>
  <si>
    <t>MC</t>
    <phoneticPr fontId="4" type="noConversion"/>
  </si>
  <si>
    <t>4 case</t>
    <phoneticPr fontId="4" type="noConversion"/>
  </si>
  <si>
    <t xml:space="preserve">DRO </t>
    <phoneticPr fontId="4" type="noConversion"/>
  </si>
  <si>
    <t>7 cases</t>
    <phoneticPr fontId="4" type="noConversion"/>
  </si>
  <si>
    <t>SMM</t>
    <phoneticPr fontId="4" type="noConversion"/>
  </si>
  <si>
    <t>5 cases</t>
    <phoneticPr fontId="4" type="noConversion"/>
  </si>
  <si>
    <t>0900-1030, 1500-1630</t>
    <phoneticPr fontId="4" type="noConversion"/>
  </si>
  <si>
    <t xml:space="preserve">麗雅 </t>
    <phoneticPr fontId="4" type="noConversion"/>
  </si>
  <si>
    <t xml:space="preserve">光劭 </t>
    <phoneticPr fontId="4" type="noConversion"/>
  </si>
  <si>
    <t>14/8/25 0.25cppc 21/8/25 0.4 gmc 28/8/25 0.25 cppc</t>
    <phoneticPr fontId="4" type="noConversion"/>
  </si>
  <si>
    <t xml:space="preserve">Dewey </t>
  </si>
  <si>
    <t xml:space="preserve">淑貞 </t>
  </si>
  <si>
    <t>Amanada</t>
    <phoneticPr fontId="4" type="noConversion"/>
  </si>
  <si>
    <t>Eric</t>
    <phoneticPr fontId="4" type="noConversion"/>
  </si>
  <si>
    <t>0.5 am</t>
    <phoneticPr fontId="4" type="noConversion"/>
  </si>
  <si>
    <t>Katie 0.5AM                                 Eric 0.5AM</t>
    <phoneticPr fontId="4" type="noConversion"/>
  </si>
  <si>
    <t>友好 8:45am CT</t>
    <phoneticPr fontId="4" type="noConversion"/>
  </si>
  <si>
    <t>少華 FU eye clinic 0930</t>
    <phoneticPr fontId="4" type="noConversion"/>
  </si>
  <si>
    <t>秋 VL</t>
    <phoneticPr fontId="4" type="noConversion"/>
  </si>
  <si>
    <t xml:space="preserve"> 3:30-5 ACC Seminar </t>
    <phoneticPr fontId="4" type="noConversion"/>
  </si>
  <si>
    <t>10ceu</t>
    <phoneticPr fontId="4" type="noConversion"/>
  </si>
  <si>
    <t>Katie 0.75</t>
    <phoneticPr fontId="4" type="noConversion"/>
  </si>
  <si>
    <t>Aggie</t>
    <phoneticPr fontId="4" type="noConversion"/>
  </si>
  <si>
    <t>0.3(8bed)</t>
  </si>
  <si>
    <t xml:space="preserve">         0.25PM</t>
    <phoneticPr fontId="4" type="noConversion"/>
  </si>
  <si>
    <t>高玲 10:45 ACC FU</t>
    <phoneticPr fontId="4" type="noConversion"/>
  </si>
  <si>
    <t>光劭 SL</t>
    <phoneticPr fontId="4" type="noConversion"/>
  </si>
  <si>
    <t>1030-1200  ,1330-1200</t>
    <phoneticPr fontId="4" type="noConversion"/>
  </si>
  <si>
    <t>AM,1500-1630</t>
  </si>
  <si>
    <t>10 case</t>
    <phoneticPr fontId="4" type="noConversion"/>
  </si>
  <si>
    <t>17 case</t>
  </si>
  <si>
    <t>3case</t>
    <phoneticPr fontId="4" type="noConversion"/>
  </si>
  <si>
    <t>7 case</t>
    <phoneticPr fontId="4" type="noConversion"/>
  </si>
  <si>
    <t>7 case</t>
  </si>
  <si>
    <t>1400-1500 PRCC Respiratory Nursing Clinical placement</t>
    <phoneticPr fontId="4" type="noConversion"/>
  </si>
  <si>
    <t>0.25(8bed)</t>
    <phoneticPr fontId="4" type="noConversion"/>
  </si>
  <si>
    <t>11case</t>
    <phoneticPr fontId="4" type="noConversion"/>
  </si>
  <si>
    <t>12case</t>
    <phoneticPr fontId="4" type="noConversion"/>
  </si>
  <si>
    <t>16case</t>
    <phoneticPr fontId="4" type="noConversion"/>
  </si>
  <si>
    <t>2case</t>
    <phoneticPr fontId="4" type="noConversion"/>
  </si>
  <si>
    <t>5case</t>
    <phoneticPr fontId="4" type="noConversion"/>
  </si>
  <si>
    <t>AM, 1330-1530</t>
    <phoneticPr fontId="4" type="noConversion"/>
  </si>
  <si>
    <t>Harry Yip</t>
  </si>
  <si>
    <t>Olgas</t>
  </si>
  <si>
    <t>Anny</t>
  </si>
  <si>
    <t>Eric Mon 0.5 AM
Aggie Wed CRP_8 beds</t>
  </si>
  <si>
    <t>Cherrie</t>
    <phoneticPr fontId="4" type="noConversion"/>
  </si>
  <si>
    <t xml:space="preserve">CPPC </t>
    <phoneticPr fontId="4" type="noConversion"/>
  </si>
  <si>
    <t>NSM</t>
    <phoneticPr fontId="4" type="noConversion"/>
  </si>
  <si>
    <t xml:space="preserve">R8B, 2/3 R9A </t>
    <phoneticPr fontId="4" type="noConversion"/>
  </si>
  <si>
    <t>R7C, 1/3 R9A</t>
    <phoneticPr fontId="8" type="noConversion"/>
  </si>
  <si>
    <t>Katie AM  +/- 0.25 PM, Vincent Lam every Fri 0.75 (preferably GMC/CPPC)</t>
  </si>
  <si>
    <t>Vivian</t>
    <phoneticPr fontId="4" type="noConversion"/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</si>
  <si>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</t>
    </r>
    <phoneticPr fontId="4" type="noConversion"/>
  </si>
  <si>
    <t>5. Starting from 14 Oct 2019 DRM (CRP) starts, deduce 0.4 therapist manpower from GMC team (Tue) and CPPC team (Mon &amp; Fri), deduce 0.25/0.4 therapist manpower from GMC team (Thurs)</t>
  </si>
  <si>
    <t>8. Starting from 3 April 2024, Aggie KWAN will stay in RBIP (AM) every Wednesday for CRP &amp; 8 medical beds.</t>
  </si>
  <si>
    <t>Mon / Fri:  Amanda</t>
    <phoneticPr fontId="4" type="noConversion"/>
  </si>
  <si>
    <t>宛諭</t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</si>
  <si>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</t>
    </r>
    <phoneticPr fontId="4" type="noConversion"/>
  </si>
  <si>
    <t>君</t>
    <phoneticPr fontId="4" type="noConversion"/>
  </si>
  <si>
    <r>
      <rPr>
        <sz val="60"/>
        <color rgb="FFFF0000"/>
        <rFont val="微軟正黑體"/>
        <family val="2"/>
        <charset val="136"/>
      </rPr>
      <t>浩然</t>
    </r>
    <r>
      <rPr>
        <sz val="60"/>
        <color rgb="FFFF0000"/>
        <rFont val="Malgun Gothic Semilight"/>
        <family val="2"/>
        <charset val="136"/>
      </rPr>
      <t xml:space="preserve"> </t>
    </r>
    <phoneticPr fontId="4" type="noConversion"/>
  </si>
  <si>
    <t>Harry Wed 0.25am + 0.25pm + neuro gym
Fri 0.25pm + neuro gym</t>
    <phoneticPr fontId="4" type="noConversion"/>
  </si>
  <si>
    <t>婉儀</t>
    <phoneticPr fontId="4" type="noConversion"/>
  </si>
  <si>
    <t>珊</t>
    <phoneticPr fontId="4" type="noConversion"/>
  </si>
  <si>
    <t>Tue / Thurs:: Becky Law</t>
    <phoneticPr fontId="4" type="noConversion"/>
  </si>
  <si>
    <r>
      <rPr>
        <sz val="55"/>
        <rFont val="微軟正黑體"/>
        <family val="2"/>
        <charset val="136"/>
      </rPr>
      <t>婉儀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</si>
  <si>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微軟正黑體"/>
        <family val="2"/>
        <charset val="136"/>
      </rPr>
      <t>少華</t>
    </r>
    <r>
      <rPr>
        <sz val="55"/>
        <rFont val="Times New Roman"/>
        <family val="1"/>
      </rPr>
      <t xml:space="preserve">  </t>
    </r>
    <phoneticPr fontId="4" type="noConversion"/>
  </si>
  <si>
    <r>
      <rPr>
        <sz val="55"/>
        <rFont val="Malgun Gothic Semilight"/>
        <family val="2"/>
        <charset val="136"/>
      </rPr>
      <t>張麗</t>
    </r>
    <r>
      <rPr>
        <sz val="55"/>
        <rFont val="Times New Roman"/>
        <family val="1"/>
      </rPr>
      <t xml:space="preserve"> </t>
    </r>
  </si>
  <si>
    <t>Harrison</t>
    <phoneticPr fontId="4" type="noConversion"/>
  </si>
  <si>
    <r>
      <rPr>
        <sz val="55"/>
        <color theme="1"/>
        <rFont val="Malgun Gothic Semilight"/>
        <family val="2"/>
        <charset val="136"/>
      </rPr>
      <t>秋</t>
    </r>
    <r>
      <rPr>
        <sz val="55"/>
        <color theme="1"/>
        <rFont val="Times New Roman"/>
        <family val="1"/>
      </rPr>
      <t xml:space="preserve">  </t>
    </r>
    <phoneticPr fontId="4" type="noConversion"/>
  </si>
  <si>
    <t xml:space="preserve">Aster </t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</si>
  <si>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2"/>
      </rPr>
      <t xml:space="preserve"> </t>
    </r>
    <phoneticPr fontId="4" type="noConversion"/>
  </si>
  <si>
    <t>浩然 whole day robotic</t>
    <phoneticPr fontId="4" type="noConversion"/>
  </si>
  <si>
    <t xml:space="preserve">Whole day </t>
    <phoneticPr fontId="4" type="noConversion"/>
  </si>
  <si>
    <t>updated by Connie on 28/11/2025</t>
    <phoneticPr fontId="4" type="noConversion"/>
  </si>
  <si>
    <r>
      <rPr>
        <sz val="55"/>
        <rFont val="微軟正黑體"/>
        <family val="2"/>
        <charset val="136"/>
      </rPr>
      <t>光劭</t>
    </r>
    <r>
      <rPr>
        <sz val="55"/>
        <rFont val="Times New Roman"/>
        <family val="2"/>
      </rPr>
      <t xml:space="preserve"> </t>
    </r>
    <phoneticPr fontId="4" type="noConversion"/>
  </si>
  <si>
    <t>R7B, 1/3 R8A, 1/3 R8C</t>
    <phoneticPr fontId="4" type="noConversion"/>
  </si>
  <si>
    <t>Austin</t>
    <phoneticPr fontId="4" type="noConversion"/>
  </si>
  <si>
    <t>Pui Yee</t>
    <phoneticPr fontId="4" type="noConversion"/>
  </si>
  <si>
    <t>CRP + 0.3</t>
    <phoneticPr fontId="4" type="noConversion"/>
  </si>
  <si>
    <r>
      <rPr>
        <sz val="36"/>
        <rFont val="微軟正黑體"/>
        <family val="2"/>
        <charset val="136"/>
      </rPr>
      <t>淑貞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3-5 TIL</t>
    </r>
    <phoneticPr fontId="4" type="noConversion"/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</si>
  <si>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TIL</t>
    </r>
    <phoneticPr fontId="4" type="noConversion"/>
  </si>
  <si>
    <t>Christy</t>
    <phoneticPr fontId="4" type="noConversion"/>
  </si>
  <si>
    <t>ML</t>
    <phoneticPr fontId="4" type="noConversion"/>
  </si>
  <si>
    <t>淑貞</t>
  </si>
  <si>
    <t xml:space="preserve">麗雅 </t>
  </si>
  <si>
    <t>Kristy</t>
    <phoneticPr fontId="4" type="noConversion"/>
  </si>
  <si>
    <t>Vincent</t>
    <phoneticPr fontId="4" type="noConversion"/>
  </si>
  <si>
    <t>0.25 PM</t>
    <phoneticPr fontId="4" type="noConversion"/>
  </si>
  <si>
    <t>SMM (R10A)</t>
    <phoneticPr fontId="4" type="noConversion"/>
  </si>
  <si>
    <t>7, 12, 18, 21, 22, 23, 26, 28, 29, 30, 33, 35, 36 ,37, 40, 42, 47</t>
    <phoneticPr fontId="4" type="noConversion"/>
  </si>
  <si>
    <t xml:space="preserve">GMC (R8C) </t>
    <phoneticPr fontId="4" type="noConversion"/>
  </si>
  <si>
    <t>3, 7, 9, 13, 15, 17, 19</t>
    <phoneticPr fontId="4" type="noConversion"/>
  </si>
  <si>
    <t>FO (R11C)</t>
    <phoneticPr fontId="4" type="noConversion"/>
  </si>
  <si>
    <t>47, 48</t>
    <phoneticPr fontId="4" type="noConversion"/>
  </si>
  <si>
    <t>FO (R11B)</t>
    <phoneticPr fontId="4" type="noConversion"/>
  </si>
  <si>
    <t>10, 15, 25, 26, 27, 28, 29, 30, 37, 41</t>
    <phoneticPr fontId="4" type="noConversion"/>
  </si>
  <si>
    <t>1/2 R11B, R11C</t>
    <phoneticPr fontId="9" type="noConversion"/>
  </si>
  <si>
    <t>R10C, 1/3 R9C</t>
    <phoneticPr fontId="8" type="noConversion"/>
  </si>
  <si>
    <t>R7C, 1/3 R9A, 1/4 R8A</t>
    <phoneticPr fontId="8" type="noConversion"/>
  </si>
  <si>
    <t>R7B, 1/4 R8A, 1/3 R8C</t>
    <phoneticPr fontId="4" type="noConversion"/>
  </si>
  <si>
    <t>R11A, 1/2 R9C, 1/3 R11B</t>
    <phoneticPr fontId="4" type="noConversion"/>
  </si>
  <si>
    <t>君 4-5 TIL</t>
    <phoneticPr fontId="4" type="noConversion"/>
  </si>
  <si>
    <t>淑貞</t>
    <phoneticPr fontId="4" type="noConversion"/>
  </si>
  <si>
    <t xml:space="preserve">光劭 </t>
  </si>
  <si>
    <t>CRP + 0.5</t>
    <phoneticPr fontId="4" type="noConversion"/>
  </si>
  <si>
    <t>R10A,  1/2 R8A</t>
    <phoneticPr fontId="9" type="noConversion"/>
  </si>
  <si>
    <t>66 (-11 CEU)</t>
    <phoneticPr fontId="4" type="noConversion"/>
  </si>
  <si>
    <t>婉儀 SL</t>
    <phoneticPr fontId="4" type="noConversion"/>
  </si>
  <si>
    <t>1330-1600</t>
    <phoneticPr fontId="4" type="noConversion"/>
  </si>
  <si>
    <t>珊 VL</t>
    <phoneticPr fontId="4" type="noConversion"/>
  </si>
  <si>
    <t>淑貞 PM VL</t>
    <phoneticPr fontId="4" type="noConversion"/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</si>
  <si>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430 ACC FU</t>
    </r>
    <phoneticPr fontId="4" type="noConversion"/>
  </si>
  <si>
    <t>AM Infection control</t>
    <phoneticPr fontId="4" type="noConversion"/>
  </si>
  <si>
    <t>MGT 001</t>
    <phoneticPr fontId="4" type="noConversion"/>
  </si>
  <si>
    <t>DRO (R11A)</t>
    <phoneticPr fontId="4" type="noConversion"/>
  </si>
  <si>
    <t>30, 35, 40</t>
    <phoneticPr fontId="4" type="noConversion"/>
  </si>
  <si>
    <t>3, 6, 9, 45</t>
    <phoneticPr fontId="4" type="noConversion"/>
  </si>
  <si>
    <t>GMC (R8C)</t>
    <phoneticPr fontId="4" type="noConversion"/>
  </si>
  <si>
    <t>25, 28</t>
    <phoneticPr fontId="4" type="noConversion"/>
  </si>
  <si>
    <t>FO (R11B)</t>
  </si>
  <si>
    <t>30, 41</t>
    <phoneticPr fontId="4" type="noConversion"/>
  </si>
  <si>
    <t>CPPC (R8B)</t>
    <phoneticPr fontId="4" type="noConversion"/>
  </si>
  <si>
    <t xml:space="preserve">5, 8, 11, 12, 14, 16, 27, 29, 35, 37, 38, 40 </t>
    <phoneticPr fontId="4" type="noConversion"/>
  </si>
  <si>
    <t>CPPC (R9A)</t>
    <phoneticPr fontId="4" type="noConversion"/>
  </si>
  <si>
    <t>7, 9, 17, 19</t>
    <phoneticPr fontId="4" type="noConversion"/>
  </si>
  <si>
    <t>Lucus</t>
    <phoneticPr fontId="4" type="noConversion"/>
  </si>
  <si>
    <t xml:space="preserve">婉儀 </t>
  </si>
  <si>
    <t>AM, 1300-1615</t>
    <phoneticPr fontId="4" type="noConversion"/>
  </si>
  <si>
    <t>Katie Harry Whole day KH training</t>
    <phoneticPr fontId="4" type="noConversion"/>
  </si>
  <si>
    <t>PM MGT 001</t>
    <phoneticPr fontId="4" type="noConversion"/>
  </si>
  <si>
    <t>1030-1200, 1330-1500</t>
    <phoneticPr fontId="4" type="noConversion"/>
  </si>
  <si>
    <t>SMM (R8A)</t>
    <phoneticPr fontId="4" type="noConversion"/>
  </si>
  <si>
    <t>7, 8, 9, 11, 12</t>
    <phoneticPr fontId="4" type="noConversion"/>
  </si>
  <si>
    <t>30, 35</t>
    <phoneticPr fontId="4" type="noConversion"/>
  </si>
  <si>
    <t>GMC (R10B)</t>
    <phoneticPr fontId="4" type="noConversion"/>
  </si>
  <si>
    <t>15, 29, 31</t>
    <phoneticPr fontId="4" type="noConversion"/>
  </si>
  <si>
    <t>28, 30</t>
    <phoneticPr fontId="4" type="noConversion"/>
  </si>
  <si>
    <t>MC(R8A)</t>
    <phoneticPr fontId="4" type="noConversion"/>
  </si>
  <si>
    <t>33, 34, 35,36</t>
    <phoneticPr fontId="4" type="noConversion"/>
  </si>
  <si>
    <t>29, 31, 32,37, 38, 39, 40</t>
    <phoneticPr fontId="4" type="noConversion"/>
  </si>
  <si>
    <t>MC (R7A)</t>
    <phoneticPr fontId="4" type="noConversion"/>
  </si>
  <si>
    <t>30, 36, 38, 43, 45, 46, 47, 49, 50, 51, 52</t>
    <phoneticPr fontId="4" type="noConversion"/>
  </si>
  <si>
    <t>updated by Stella on 5/1/2026</t>
    <phoneticPr fontId="4" type="noConversion"/>
  </si>
  <si>
    <t>updated by Stella on 6/1/2026</t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</si>
  <si>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0845 blood taking</t>
    </r>
    <phoneticPr fontId="4" type="noConversion"/>
  </si>
  <si>
    <t xml:space="preserve">珊 </t>
    <phoneticPr fontId="4" type="noConversion"/>
  </si>
  <si>
    <t>66 (-10 CEU)</t>
    <phoneticPr fontId="4" type="noConversion"/>
  </si>
  <si>
    <t>婉儀 1530 PT FU</t>
    <phoneticPr fontId="4" type="noConversion"/>
  </si>
  <si>
    <t>少華 1530 PT FU</t>
    <phoneticPr fontId="4" type="noConversion"/>
  </si>
  <si>
    <t>4pm meeting</t>
    <phoneticPr fontId="4" type="noConversion"/>
  </si>
  <si>
    <t>麗雅 SBOPD</t>
    <phoneticPr fontId="4" type="noConversion"/>
  </si>
  <si>
    <t>1000-1200, PM</t>
    <phoneticPr fontId="4" type="noConversion"/>
  </si>
  <si>
    <t>2, 4, 6, 8, 10, 12, 14, 16, 18, 20</t>
    <phoneticPr fontId="4" type="noConversion"/>
  </si>
  <si>
    <t xml:space="preserve">GMC (R10B) </t>
    <phoneticPr fontId="4" type="noConversion"/>
  </si>
  <si>
    <t>1, 5, 13</t>
    <phoneticPr fontId="4" type="noConversion"/>
  </si>
  <si>
    <t>15, 21</t>
    <phoneticPr fontId="4" type="noConversion"/>
  </si>
  <si>
    <t>6, 7, 8, 9, 12, 19</t>
    <phoneticPr fontId="4" type="noConversion"/>
  </si>
  <si>
    <t>12, 13, 14, 15, 18, 20, 21, 22, 24, 48</t>
    <phoneticPr fontId="4" type="noConversion"/>
  </si>
  <si>
    <t>7, 28, 30, 37, 41</t>
    <phoneticPr fontId="4" type="noConversion"/>
  </si>
  <si>
    <t>AM, 1330-1515</t>
    <phoneticPr fontId="4" type="noConversion"/>
  </si>
  <si>
    <t>updated by Stella on 7/1/2026</t>
    <phoneticPr fontId="4" type="noConversion"/>
  </si>
  <si>
    <t>秋 9am ACC FU</t>
    <phoneticPr fontId="4" type="noConversion"/>
  </si>
  <si>
    <t>麗雅 SBIP</t>
    <phoneticPr fontId="4" type="noConversion"/>
  </si>
  <si>
    <t>updated by Stella on 8/1/2026</t>
    <phoneticPr fontId="4" type="noConversion"/>
  </si>
  <si>
    <t>1, 3, 15, 29</t>
    <phoneticPr fontId="4" type="noConversion"/>
  </si>
  <si>
    <t>1, 3, 5, 9, 11, 13, 15, 16, 17, 19, 45</t>
    <phoneticPr fontId="4" type="noConversion"/>
  </si>
  <si>
    <t>SMM
(R8A)</t>
    <phoneticPr fontId="4" type="noConversion"/>
  </si>
  <si>
    <t>1, 5, 6, 7, 8, 9</t>
    <phoneticPr fontId="4" type="noConversion"/>
  </si>
  <si>
    <t>10, 11, 12</t>
    <phoneticPr fontId="4" type="noConversion"/>
  </si>
  <si>
    <t>SMM
(R10A)</t>
    <phoneticPr fontId="4" type="noConversion"/>
  </si>
  <si>
    <t>28, 41</t>
    <phoneticPr fontId="4" type="noConversion"/>
  </si>
  <si>
    <t>4, 5, 6, 7, 8, 19, 20</t>
    <phoneticPr fontId="4" type="noConversion"/>
  </si>
  <si>
    <t>麗雅 AM SBIP relieve</t>
    <phoneticPr fontId="4" type="noConversion"/>
  </si>
  <si>
    <t xml:space="preserve">AM </t>
    <phoneticPr fontId="4" type="noConversion"/>
  </si>
  <si>
    <t xml:space="preserve">Vincent </t>
    <phoneticPr fontId="4" type="noConversion"/>
  </si>
  <si>
    <t>Vincent Lam PM TIL</t>
    <phoneticPr fontId="4" type="noConversion"/>
  </si>
  <si>
    <t>930-12 PWH SL</t>
    <phoneticPr fontId="4" type="noConversion"/>
  </si>
  <si>
    <t>SDO</t>
    <phoneticPr fontId="4" type="noConversion"/>
  </si>
  <si>
    <t>5, 6, 8, 9, 10, 11, 12</t>
    <phoneticPr fontId="4" type="noConversion"/>
  </si>
  <si>
    <t>4, 5, 6, 7, 8, 14, 20</t>
    <phoneticPr fontId="4" type="noConversion"/>
  </si>
  <si>
    <t>1,2,7,25,27</t>
    <phoneticPr fontId="4" type="noConversion"/>
  </si>
  <si>
    <t>FO(R11C)</t>
    <phoneticPr fontId="4" type="noConversion"/>
  </si>
  <si>
    <t>33,35,38,39, 45,46,47,48</t>
    <phoneticPr fontId="4" type="noConversion"/>
  </si>
  <si>
    <t>FO(R11B)</t>
    <phoneticPr fontId="4" type="noConversion"/>
  </si>
  <si>
    <t>3,7,8,25,28, 29</t>
    <phoneticPr fontId="4" type="noConversion"/>
  </si>
  <si>
    <t>31,32,34,37, 41,42</t>
    <phoneticPr fontId="4" type="noConversion"/>
  </si>
  <si>
    <t>少華 VL</t>
    <phoneticPr fontId="4" type="noConversion"/>
  </si>
  <si>
    <t>君 TSWH 14:15 blood taking</t>
    <phoneticPr fontId="4" type="noConversion"/>
  </si>
  <si>
    <t>0900 OPD robotics</t>
    <phoneticPr fontId="4" type="noConversion"/>
  </si>
  <si>
    <t>DRO (R11B)</t>
    <phoneticPr fontId="4" type="noConversion"/>
  </si>
  <si>
    <t>9, 11, 14, 15, 16 ,17, 18</t>
    <phoneticPr fontId="4" type="noConversion"/>
  </si>
  <si>
    <t>5, 6, 7, 8</t>
    <phoneticPr fontId="4" type="noConversion"/>
  </si>
  <si>
    <t>DRO (R9C)</t>
    <phoneticPr fontId="4" type="noConversion"/>
  </si>
  <si>
    <t>17, 21, 22, 23, 24 ,25 ,26 ,27, 28, 29</t>
    <phoneticPr fontId="4" type="noConversion"/>
  </si>
  <si>
    <t>30, 31, 33, 34</t>
    <phoneticPr fontId="4" type="noConversion"/>
  </si>
  <si>
    <t>9, 15</t>
    <phoneticPr fontId="4" type="noConversion"/>
  </si>
  <si>
    <t>NSM (R8A)</t>
    <phoneticPr fontId="4" type="noConversion"/>
  </si>
  <si>
    <t>43, 44, 46, 47, 48, 49, 50, 51, 52</t>
    <phoneticPr fontId="4" type="noConversion"/>
  </si>
  <si>
    <t>29, 33. 34, 35, 36, 37</t>
    <phoneticPr fontId="4" type="noConversion"/>
  </si>
  <si>
    <t>AM VL + PM TIL</t>
    <phoneticPr fontId="4" type="noConversion"/>
  </si>
  <si>
    <t>君</t>
  </si>
  <si>
    <t>秋 AM FU</t>
    <phoneticPr fontId="4" type="noConversion"/>
  </si>
  <si>
    <t>宛諭 1245 FU</t>
    <phoneticPr fontId="4" type="noConversion"/>
  </si>
  <si>
    <t>友好</t>
  </si>
  <si>
    <t>1030-1500</t>
    <phoneticPr fontId="4" type="noConversion"/>
  </si>
  <si>
    <t>AM KH B2 CP training</t>
  </si>
  <si>
    <t>MGT 001 on the job coaching</t>
  </si>
  <si>
    <t>updated by Oscar on 12/1/2026</t>
    <phoneticPr fontId="4" type="noConversion"/>
  </si>
  <si>
    <t>MC (R8A)</t>
    <phoneticPr fontId="4" type="noConversion"/>
  </si>
  <si>
    <t>29, 30, 31, 33, 34, 35, 36, 37, 38, 39</t>
    <phoneticPr fontId="4" type="noConversion"/>
  </si>
  <si>
    <t>39, 43, 45, 46, 47, 48, 50, 51, 52</t>
    <phoneticPr fontId="4" type="noConversion"/>
  </si>
  <si>
    <t>17, 18, 19, 20, 30, 33, 34</t>
    <phoneticPr fontId="4" type="noConversion"/>
  </si>
  <si>
    <t>9, 11, 14, 15, 17, 18</t>
    <phoneticPr fontId="4" type="noConversion"/>
  </si>
  <si>
    <t>5, 6, 7, 8, 10, 12, 18, 23, 25, 40, 44</t>
    <phoneticPr fontId="4" type="noConversion"/>
  </si>
  <si>
    <t>45, 46, 52</t>
    <phoneticPr fontId="4" type="noConversion"/>
  </si>
  <si>
    <t>Harry Lee</t>
    <phoneticPr fontId="4" type="noConversion"/>
  </si>
  <si>
    <t>3-430PM STEP: SDR &amp; Performance Management</t>
  </si>
  <si>
    <t>浩然 AMVL</t>
    <phoneticPr fontId="4" type="noConversion"/>
  </si>
  <si>
    <t>桂花 12noon POH FU</t>
    <phoneticPr fontId="4" type="noConversion"/>
  </si>
  <si>
    <t>0900-1100, 1500-1630</t>
    <phoneticPr fontId="4" type="noConversion"/>
  </si>
  <si>
    <t>4, 38, 40, 41, 42</t>
    <phoneticPr fontId="4" type="noConversion"/>
  </si>
  <si>
    <t>43, 45, 46, 47, 48, 50, 51</t>
    <phoneticPr fontId="4" type="noConversion"/>
  </si>
  <si>
    <t>SMM
(R8A)</t>
  </si>
  <si>
    <t>15, 18</t>
    <phoneticPr fontId="4" type="noConversion"/>
  </si>
  <si>
    <t>1, 3, 5, 7, 9, 15, 17, 18, 29</t>
    <phoneticPr fontId="4" type="noConversion"/>
  </si>
  <si>
    <t>1, 9, 15, 45</t>
    <phoneticPr fontId="4" type="noConversion"/>
  </si>
  <si>
    <t>33, 34, 35, 36, 37</t>
    <phoneticPr fontId="4" type="noConversion"/>
  </si>
  <si>
    <t>35, 36, 37</t>
    <phoneticPr fontId="4" type="noConversion"/>
  </si>
  <si>
    <t>9, 11, 12, 13, 14, 16, 17, 18</t>
    <phoneticPr fontId="4" type="noConversion"/>
  </si>
  <si>
    <t>updated by Oscar on 14/1/2026</t>
    <phoneticPr fontId="4" type="noConversion"/>
  </si>
  <si>
    <t>Vincent Lam</t>
    <phoneticPr fontId="4" type="noConversion"/>
  </si>
  <si>
    <t>AM HKCH symposium</t>
    <phoneticPr fontId="4" type="noConversion"/>
  </si>
  <si>
    <t>少華 TIL</t>
    <phoneticPr fontId="4" type="noConversion"/>
  </si>
  <si>
    <t>明 SL</t>
    <phoneticPr fontId="4" type="noConversion"/>
  </si>
  <si>
    <t>9, 11, 12, 13, 14, 17, 18</t>
    <phoneticPr fontId="4" type="noConversion"/>
  </si>
  <si>
    <t>5, 6, 14, 16, 17</t>
    <phoneticPr fontId="4" type="noConversion"/>
  </si>
  <si>
    <t>18, 19, 25, 26, 28, 36, 46, 52</t>
    <phoneticPr fontId="4" type="noConversion"/>
  </si>
  <si>
    <t>4, 23, 38, 40, 41, 42, 43, 45, 50, 51</t>
    <phoneticPr fontId="4" type="noConversion"/>
  </si>
  <si>
    <t>MC (R9A)</t>
    <phoneticPr fontId="4" type="noConversion"/>
  </si>
  <si>
    <t>43, 48, 51, 52</t>
    <phoneticPr fontId="4" type="noConversion"/>
  </si>
  <si>
    <t>48, 50</t>
    <phoneticPr fontId="4" type="noConversion"/>
  </si>
  <si>
    <t>20, 34, 36, 38, 39, 40, 42, 43, 45, 47, 51, 52</t>
    <phoneticPr fontId="4" type="noConversion"/>
  </si>
  <si>
    <t>0.25PM</t>
    <phoneticPr fontId="4" type="noConversion"/>
  </si>
  <si>
    <t>2-3:30PM medical equipment meeting</t>
  </si>
  <si>
    <t>0.5 PM</t>
    <phoneticPr fontId="4" type="noConversion"/>
  </si>
  <si>
    <t>少華</t>
  </si>
  <si>
    <t>淑貞 2pm ACC FU</t>
    <phoneticPr fontId="4" type="noConversion"/>
  </si>
  <si>
    <t>updated by Oscar on 15/1/2026</t>
    <phoneticPr fontId="4" type="noConversion"/>
  </si>
  <si>
    <t>0900-1030</t>
    <phoneticPr fontId="4" type="noConversion"/>
  </si>
  <si>
    <t>0900-1030, 0.25 PM</t>
    <phoneticPr fontId="4" type="noConversion"/>
  </si>
  <si>
    <t xml:space="preserve">Trinity </t>
    <phoneticPr fontId="4" type="noConversion"/>
  </si>
  <si>
    <t>AM VL</t>
    <phoneticPr fontId="4" type="noConversion"/>
  </si>
  <si>
    <t>37, 38</t>
    <phoneticPr fontId="4" type="noConversion"/>
  </si>
  <si>
    <t>43, 51, 52</t>
    <phoneticPr fontId="4" type="noConversion"/>
  </si>
  <si>
    <t>14, 17, 18, 19, 52</t>
    <phoneticPr fontId="4" type="noConversion"/>
  </si>
  <si>
    <t>4, 38, 40, 41, 42, 45, 50</t>
    <phoneticPr fontId="4" type="noConversion"/>
  </si>
  <si>
    <t>6, 8, 16, 18, 24, 25</t>
    <phoneticPr fontId="4" type="noConversion"/>
  </si>
  <si>
    <t>25,26,28,31, 32,33,36,41, 42</t>
    <phoneticPr fontId="4" type="noConversion"/>
  </si>
  <si>
    <t>updated by Oscar on 16/1/2026</t>
    <phoneticPr fontId="4" type="noConversion"/>
  </si>
  <si>
    <t>浩然 SL</t>
    <phoneticPr fontId="4" type="noConversion"/>
  </si>
  <si>
    <t>1, 5, 7, 9, 11, 12, 15, 33</t>
    <phoneticPr fontId="4" type="noConversion"/>
  </si>
  <si>
    <t>1, 3, 9, 11, 19</t>
    <phoneticPr fontId="4" type="noConversion"/>
  </si>
  <si>
    <t>9, 10, 11, 14</t>
    <phoneticPr fontId="4" type="noConversion"/>
  </si>
  <si>
    <t>17, 18</t>
    <phoneticPr fontId="4" type="noConversion"/>
  </si>
  <si>
    <t>6, 8, 21, 22, 30, 34</t>
    <phoneticPr fontId="4" type="noConversion"/>
  </si>
  <si>
    <t>SFM (R10C)</t>
    <phoneticPr fontId="4" type="noConversion"/>
  </si>
  <si>
    <t>9, 10, 11, 12, 13, 14, 15, 16, 18, 20, 21, 22, 24</t>
    <phoneticPr fontId="4" type="noConversion"/>
  </si>
  <si>
    <t>9, 10, 18</t>
    <phoneticPr fontId="4" type="noConversion"/>
  </si>
  <si>
    <t>5, 6</t>
    <phoneticPr fontId="4" type="noConversion"/>
  </si>
  <si>
    <t>7, 8, 9, 10, 11</t>
    <phoneticPr fontId="4" type="noConversion"/>
  </si>
  <si>
    <t>1, 3, 5, 7, 11, 15</t>
    <phoneticPr fontId="4" type="noConversion"/>
  </si>
  <si>
    <t>NSM (R7B)</t>
    <phoneticPr fontId="4" type="noConversion"/>
  </si>
  <si>
    <t>9, 10, 40</t>
    <phoneticPr fontId="4" type="noConversion"/>
  </si>
  <si>
    <t>10, 11, 12, 14, 15, 16,18, 20, 21, 22, 24</t>
    <phoneticPr fontId="4" type="noConversion"/>
  </si>
  <si>
    <t>0.25am</t>
    <phoneticPr fontId="4" type="noConversion"/>
  </si>
  <si>
    <t>Anny</t>
    <phoneticPr fontId="4" type="noConversion"/>
  </si>
  <si>
    <t>AM KH B2 CP training</t>
    <phoneticPr fontId="4" type="noConversion"/>
  </si>
  <si>
    <t>婉儀 PM VL</t>
    <phoneticPr fontId="4" type="noConversion"/>
  </si>
  <si>
    <t>桂花 10AM Staff clinic FU</t>
    <phoneticPr fontId="4" type="noConversion"/>
  </si>
  <si>
    <t>0.25 AM, PM</t>
    <phoneticPr fontId="4" type="noConversion"/>
  </si>
  <si>
    <t>updated by Oscar on 20/1/2026</t>
    <phoneticPr fontId="4" type="noConversion"/>
  </si>
  <si>
    <t>0.25 AM+0.25 PM</t>
    <phoneticPr fontId="4" type="noConversion"/>
  </si>
  <si>
    <t>4, 5, 7, 8, 13, 16, 18, 19, 20</t>
    <phoneticPr fontId="4" type="noConversion"/>
  </si>
  <si>
    <t>3, 9, 40</t>
    <phoneticPr fontId="4" type="noConversion"/>
  </si>
  <si>
    <t>43 44</t>
    <phoneticPr fontId="4" type="noConversion"/>
  </si>
  <si>
    <t>9, 10, 11, 13, 14, 17, 18</t>
    <phoneticPr fontId="4" type="noConversion"/>
  </si>
  <si>
    <t>6, 7, 8, 10, 11, 12, 17, 22, 35, 36, 37, 38, 39</t>
    <phoneticPr fontId="4" type="noConversion"/>
  </si>
  <si>
    <t>GMC (R10B)</t>
  </si>
  <si>
    <t>1, 6, 14, 17, 18, 19</t>
  </si>
  <si>
    <t>updated by Oscar on 21/1/2026</t>
    <phoneticPr fontId="4" type="noConversion"/>
  </si>
  <si>
    <t>明 PM VL</t>
    <phoneticPr fontId="4" type="noConversion"/>
  </si>
  <si>
    <t>Study leave</t>
    <phoneticPr fontId="4" type="noConversion"/>
  </si>
  <si>
    <t>Katie</t>
    <phoneticPr fontId="4" type="noConversion"/>
  </si>
  <si>
    <t>0.5 AM</t>
    <phoneticPr fontId="4" type="noConversion"/>
  </si>
  <si>
    <t>Vincent Lam</t>
    <phoneticPr fontId="4" type="noConversion"/>
  </si>
  <si>
    <t>1500-1630</t>
    <phoneticPr fontId="4" type="noConversion"/>
  </si>
  <si>
    <t>0900-1030</t>
    <phoneticPr fontId="4" type="noConversion"/>
  </si>
  <si>
    <t>1030-1200, PM</t>
    <phoneticPr fontId="4" type="noConversion"/>
  </si>
  <si>
    <t>6, 7, 8, 10</t>
    <phoneticPr fontId="4" type="noConversion"/>
  </si>
  <si>
    <t>11, 12, 15, 17, 22, 26, 27, 29, 35, 36, 37</t>
    <phoneticPr fontId="4" type="noConversion"/>
  </si>
  <si>
    <t>9, 10, 13, 14, 17</t>
    <phoneticPr fontId="4" type="noConversion"/>
  </si>
  <si>
    <t>4, 7, 8, 12, 13, 16, 18, 19, 40, 50</t>
    <phoneticPr fontId="4" type="noConversion"/>
  </si>
  <si>
    <t>2, 13, 36, 38</t>
    <phoneticPr fontId="4" type="noConversion"/>
  </si>
  <si>
    <t>25, 26, 28, 29, 32</t>
    <phoneticPr fontId="4" type="noConversion"/>
  </si>
  <si>
    <t>33, 34, 36, 40, 41</t>
    <phoneticPr fontId="4" type="noConversion"/>
  </si>
  <si>
    <t>9, 10, 13, 15, 17</t>
    <phoneticPr fontId="4" type="noConversion"/>
  </si>
  <si>
    <t>6, 7, 8, 10, 11, 12, 15</t>
    <phoneticPr fontId="4" type="noConversion"/>
  </si>
  <si>
    <t>22, 26, 27</t>
    <phoneticPr fontId="4" type="noConversion"/>
  </si>
  <si>
    <t>1, 5</t>
    <phoneticPr fontId="4" type="noConversion"/>
  </si>
  <si>
    <t>1, 3, 13, 39, 48</t>
    <phoneticPr fontId="4" type="noConversion"/>
  </si>
  <si>
    <t>25, 26, 28, 29, 30, 32, 33</t>
    <phoneticPr fontId="4" type="noConversion"/>
  </si>
  <si>
    <t>36, 40, 41, 42</t>
    <phoneticPr fontId="4" type="noConversion"/>
  </si>
  <si>
    <t>updated by Oscar on 23/1/2026</t>
    <phoneticPr fontId="4" type="noConversion"/>
  </si>
  <si>
    <t>秋 9AM FU</t>
    <phoneticPr fontId="4" type="noConversion"/>
  </si>
  <si>
    <t>Robotics</t>
    <phoneticPr fontId="4" type="noConversion"/>
  </si>
  <si>
    <t>9, 10, 11, 13, 15, 17</t>
    <phoneticPr fontId="4" type="noConversion"/>
  </si>
  <si>
    <t>28, 44, 45, 46</t>
    <phoneticPr fontId="4" type="noConversion"/>
  </si>
  <si>
    <t>14, 17, 18</t>
    <phoneticPr fontId="4" type="noConversion"/>
  </si>
  <si>
    <t>19, 26</t>
    <phoneticPr fontId="4" type="noConversion"/>
  </si>
  <si>
    <t>7, 8, 9, 10, 11, 12</t>
    <phoneticPr fontId="4" type="noConversion"/>
  </si>
  <si>
    <t>1330-1500</t>
    <phoneticPr fontId="4" type="noConversion"/>
  </si>
  <si>
    <t>updated by Oscar on 26/1/2026</t>
    <phoneticPr fontId="4" type="noConversion"/>
  </si>
  <si>
    <t>明 SDO</t>
    <phoneticPr fontId="4" type="noConversion"/>
  </si>
  <si>
    <t>少華 0830 抽血</t>
    <phoneticPr fontId="4" type="noConversion"/>
  </si>
  <si>
    <t xml:space="preserve">秋  </t>
    <phoneticPr fontId="4" type="noConversion"/>
  </si>
  <si>
    <t>11, 12</t>
    <phoneticPr fontId="4" type="noConversion"/>
  </si>
  <si>
    <t>7, 8</t>
    <phoneticPr fontId="4" type="noConversion"/>
  </si>
  <si>
    <t>9, 10, 11, 13, 15, 18</t>
    <phoneticPr fontId="4" type="noConversion"/>
  </si>
  <si>
    <t>14, 15, 17, 44, 45, 46</t>
    <phoneticPr fontId="4" type="noConversion"/>
  </si>
  <si>
    <t>1, 3, 5, 6, 7, 8, 11, 39, 40</t>
    <phoneticPr fontId="4" type="noConversion"/>
  </si>
  <si>
    <t>29, 30, 31, 32, 33, 34</t>
    <phoneticPr fontId="4" type="noConversion"/>
  </si>
  <si>
    <t>明</t>
  </si>
  <si>
    <t>CRP + 8 beds</t>
    <phoneticPr fontId="4" type="noConversion"/>
  </si>
  <si>
    <t>0.25 AM</t>
    <phoneticPr fontId="4" type="noConversion"/>
  </si>
  <si>
    <t>9, 10</t>
    <phoneticPr fontId="4" type="noConversion"/>
  </si>
  <si>
    <t>11, 13, 15, 17, 18</t>
    <phoneticPr fontId="4" type="noConversion"/>
  </si>
  <si>
    <t>44, 45, 46</t>
    <phoneticPr fontId="4" type="noConversion"/>
  </si>
  <si>
    <t>7, 13, 20, 39</t>
    <phoneticPr fontId="4" type="noConversion"/>
  </si>
  <si>
    <t>40, 41</t>
    <phoneticPr fontId="4" type="noConversion"/>
  </si>
  <si>
    <t>29, 30, 31, 32, 33, 34, 40</t>
    <phoneticPr fontId="4" type="noConversion"/>
  </si>
  <si>
    <t>友好 1430 ACC FU</t>
    <phoneticPr fontId="4" type="noConversion"/>
  </si>
  <si>
    <t>AM, 0.5 PM</t>
    <phoneticPr fontId="4" type="noConversion"/>
  </si>
  <si>
    <t>4PM E-referral for RDRN meeting</t>
  </si>
  <si>
    <t>4-5PM TIL</t>
    <phoneticPr fontId="4" type="noConversion"/>
  </si>
  <si>
    <t>麗雅 RBOPD</t>
    <phoneticPr fontId="4" type="noConversion"/>
  </si>
  <si>
    <t>4, 5, 6, 7</t>
    <phoneticPr fontId="4" type="noConversion"/>
  </si>
  <si>
    <t>8, 15, 16, 17, 18, 19, 24, 47</t>
    <phoneticPr fontId="4" type="noConversion"/>
  </si>
  <si>
    <t>19, 22, 45, 46</t>
    <phoneticPr fontId="4" type="noConversion"/>
  </si>
  <si>
    <t>9, 10, 11, 13, 15, 17, 18</t>
    <phoneticPr fontId="4" type="noConversion"/>
  </si>
  <si>
    <t>NSM
(R7B)</t>
    <phoneticPr fontId="4" type="noConversion"/>
  </si>
  <si>
    <t>1, 3, 5, 6, 15, 39</t>
    <phoneticPr fontId="4" type="noConversion"/>
  </si>
  <si>
    <t>21, 22, 23, 26, 28, 30, 32</t>
    <phoneticPr fontId="4" type="noConversion"/>
  </si>
  <si>
    <t>38, 39, 41, 43, 44</t>
    <phoneticPr fontId="4" type="noConversion"/>
  </si>
  <si>
    <t>Trinity</t>
    <phoneticPr fontId="4" type="noConversion"/>
  </si>
  <si>
    <t>Sick leave</t>
    <phoneticPr fontId="4" type="noConversion"/>
  </si>
  <si>
    <t>1500-1630</t>
    <phoneticPr fontId="4" type="noConversion"/>
  </si>
  <si>
    <t>GMC</t>
    <phoneticPr fontId="4" type="noConversion"/>
  </si>
  <si>
    <t>1 case</t>
    <phoneticPr fontId="4" type="noConversion"/>
  </si>
  <si>
    <t>9, 10, 13, 15, 17, 18</t>
    <phoneticPr fontId="4" type="noConversion"/>
  </si>
  <si>
    <t>17, 19, 21, 22, 41, 44, 45, 46</t>
    <phoneticPr fontId="4" type="noConversion"/>
  </si>
  <si>
    <t>6, 7, 10, 14</t>
    <phoneticPr fontId="4" type="noConversion"/>
  </si>
  <si>
    <t>10, 37, 38, 39, 41, 44, 47, 48</t>
    <phoneticPr fontId="4" type="noConversion"/>
  </si>
  <si>
    <t>1, 3, 39</t>
    <phoneticPr fontId="4" type="noConversion"/>
  </si>
  <si>
    <t>5, 6, 8, 10</t>
    <phoneticPr fontId="4" type="noConversion"/>
  </si>
  <si>
    <t>37, 38, 40, 41, 42, 45, 46, 49, 50, 52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</si>
</sst>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.00_ "/>
    <numFmt numFmtId="166" formatCode="0.00_);[Red]\(0.00\)"/>
    <numFmt numFmtId="167" formatCode="mm&quot;月&quot;dd&quot;日&quot;"/>
  </numFmts>
  <fonts count="95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</font>
    <font>
      <b/>
      <sz val="36"/>
      <color rgb="FFFFFFFF"/>
      <name val="Times New Roman"/>
      <family val="1"/>
    </font>
    <font>
      <sz val="9"/>
      <name val="Calibri"/>
      <family val="2"/>
      <charset val="136"/>
      <scheme val="minor"/>
    </font>
    <font>
      <b/>
      <sz val="36"/>
      <color theme="0"/>
      <name val="Times New Roman"/>
      <family val="1"/>
    </font>
    <font>
      <b/>
      <sz val="28"/>
      <color rgb="FFFFFFFF"/>
      <name val="Times New Roman"/>
      <family val="1"/>
    </font>
    <font>
      <sz val="28"/>
      <color theme="1"/>
      <name val="Times New Roman"/>
      <family val="1"/>
    </font>
    <font>
      <sz val="9"/>
      <name val="Calibri"/>
      <family val="3"/>
      <charset val="136"/>
      <scheme val="minor"/>
    </font>
    <font>
      <sz val="11"/>
      <color rgb="FF000000"/>
      <name val="新細明體"/>
      <family val="2"/>
      <charset val="136"/>
    </font>
    <font>
      <sz val="36"/>
      <name val="Times New Roman"/>
      <family val="1"/>
    </font>
    <font>
      <sz val="48"/>
      <color theme="1"/>
      <name val="Times New Roman"/>
      <family val="1"/>
    </font>
    <font>
      <sz val="48"/>
      <name val="Times New Roman"/>
      <family val="1"/>
    </font>
    <font>
      <sz val="36"/>
      <color theme="1"/>
      <name val="Calibri"/>
      <family val="1"/>
      <scheme val="minor"/>
    </font>
    <font>
      <sz val="36"/>
      <color rgb="FF000000"/>
      <name val="Times New Roman"/>
      <family val="1"/>
    </font>
    <font>
      <sz val="36"/>
      <color rgb="FFFF0000"/>
      <name val="Times New Roman"/>
      <family val="1"/>
    </font>
    <font>
      <sz val="36"/>
      <color rgb="FF000000"/>
      <name val="Calibri"/>
      <family val="1"/>
      <scheme val="minor"/>
    </font>
    <font>
      <sz val="36"/>
      <color theme="1"/>
      <name val="Times New Roman"/>
      <family val="1"/>
    </font>
    <font>
      <sz val="36"/>
      <color theme="1"/>
      <name val="Calibri Light"/>
      <family val="2"/>
      <charset val="136"/>
      <scheme val="major"/>
    </font>
    <font>
      <sz val="48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48"/>
      <color rgb="FFFF0000"/>
      <name val="Times New Roman"/>
      <family val="1"/>
    </font>
    <font>
      <i/>
      <sz val="36"/>
      <color rgb="FFFF0000"/>
      <name val="Times New Roman"/>
      <family val="1"/>
    </font>
    <font>
      <sz val="36"/>
      <name val="Malgun Gothic Semilight"/>
      <family val="2"/>
      <charset val="136"/>
    </font>
    <font>
      <sz val="48"/>
      <name val="Malgun Gothic Semilight"/>
      <family val="2"/>
      <charset val="136"/>
    </font>
    <font>
      <sz val="36"/>
      <name val="細明體"/>
      <family val="3"/>
      <charset val="136"/>
    </font>
    <font>
      <sz val="36"/>
      <color rgb="FF000000"/>
      <name val="細明體"/>
      <family val="3"/>
      <charset val="136"/>
    </font>
    <font>
      <b/>
      <sz val="28"/>
      <color theme="1"/>
      <name val="Times New Roman"/>
      <family val="1"/>
    </font>
    <font>
      <sz val="48"/>
      <color theme="1"/>
      <name val="MingLiU"/>
      <family val="3"/>
      <charset val="136"/>
    </font>
    <font>
      <sz val="48"/>
      <color theme="1"/>
      <name val="細明體"/>
      <family val="3"/>
      <charset val="136"/>
    </font>
    <font>
      <sz val="36"/>
      <color rgb="FF000000"/>
      <name val="Malgun Gothic Semilight"/>
      <family val="2"/>
      <charset val="136"/>
    </font>
    <font>
      <sz val="28"/>
      <name val="Times New Roman"/>
      <family val="1"/>
    </font>
    <font>
      <sz val="48"/>
      <color rgb="FFFF0000"/>
      <name val="Malgun Gothic Semilight"/>
      <family val="2"/>
      <charset val="136"/>
    </font>
    <font>
      <sz val="34"/>
      <color theme="1"/>
      <name val="Times New Roman"/>
      <family val="1"/>
    </font>
    <font>
      <sz val="48"/>
      <color rgb="FF000000"/>
      <name val="Times New Roman"/>
      <family val="1"/>
    </font>
    <font>
      <b/>
      <sz val="48"/>
      <color rgb="FFC00000"/>
      <name val="Times New Roman"/>
      <family val="1"/>
    </font>
    <font>
      <sz val="34"/>
      <name val="Times New Roman"/>
      <family val="1"/>
    </font>
    <font>
      <b/>
      <sz val="36"/>
      <name val="Times New Roman"/>
      <family val="1"/>
    </font>
    <font>
      <b/>
      <sz val="60"/>
      <color rgb="FFFF0000"/>
      <name val="Times New Roman"/>
      <family val="1"/>
    </font>
    <font>
      <sz val="34"/>
      <name val="新細明體"/>
      <family val="2"/>
      <charset val="136"/>
    </font>
    <font>
      <sz val="34"/>
      <color theme="1"/>
      <name val="新細明體"/>
      <family val="2"/>
      <charset val="136"/>
    </font>
    <font>
      <sz val="28"/>
      <color rgb="FF000000"/>
      <name val="Times New Roman"/>
      <family val="1"/>
    </font>
    <font>
      <sz val="28"/>
      <color rgb="FF7030A0"/>
      <name val="Times New Roman"/>
      <family val="1"/>
    </font>
    <font>
      <sz val="28"/>
      <color theme="1"/>
      <name val="細明體"/>
      <family val="3"/>
      <charset val="136"/>
    </font>
    <font>
      <sz val="28"/>
      <color rgb="FFFFFFFF"/>
      <name val="Times New Roman"/>
      <family val="1"/>
    </font>
    <font>
      <b/>
      <sz val="28"/>
      <color rgb="FFC00000"/>
      <name val="Times New Roman"/>
      <family val="1"/>
    </font>
    <font>
      <b/>
      <sz val="28"/>
      <color rgb="FF000000"/>
      <name val="Times New Roman"/>
      <family val="1"/>
    </font>
    <font>
      <sz val="28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28"/>
      <color theme="5"/>
      <name val="Times New Roman"/>
      <family val="1"/>
    </font>
    <font>
      <b/>
      <sz val="28"/>
      <name val="Times New Roman"/>
      <family val="1"/>
    </font>
    <font>
      <sz val="28"/>
      <color rgb="FF00B0F0"/>
      <name val="Times New Roman"/>
      <family val="1"/>
    </font>
    <font>
      <sz val="48"/>
      <color theme="1"/>
      <name val="Calibri"/>
      <family val="2"/>
      <charset val="136"/>
      <scheme val="minor"/>
    </font>
    <font>
      <sz val="36"/>
      <color theme="1"/>
      <name val="Calibri"/>
      <family val="2"/>
      <charset val="136"/>
      <scheme val="minor"/>
    </font>
    <font>
      <sz val="48"/>
      <color theme="1"/>
      <name val="Malgun Gothic Semilight"/>
      <family val="2"/>
      <charset val="136"/>
    </font>
    <font>
      <sz val="36"/>
      <color theme="1"/>
      <name val="Malgun Gothic Semilight"/>
      <family val="2"/>
      <charset val="136"/>
    </font>
    <font>
      <sz val="48"/>
      <color rgb="FF000000"/>
      <name val="細明體"/>
      <family val="3"/>
      <charset val="136"/>
    </font>
    <font>
      <sz val="28"/>
      <color rgb="FF212529"/>
      <name val="Open Sans"/>
      <family val="2"/>
    </font>
    <font>
      <sz val="36"/>
      <color rgb="FF242424"/>
      <name val="Aptos Narrow"/>
      <family val="1"/>
      <charset val="136"/>
    </font>
    <font>
      <sz val="26"/>
      <color rgb="FF212529"/>
      <name val="Open Sans"/>
      <family val="1"/>
      <charset val="136"/>
    </font>
    <font>
      <sz val="36"/>
      <color rgb="FFFF0000"/>
      <name val="Malgun Gothic Semilight"/>
      <family val="2"/>
      <charset val="136"/>
    </font>
    <font>
      <sz val="36"/>
      <name val="微軟正黑體"/>
      <family val="2"/>
      <charset val="136"/>
    </font>
    <font>
      <sz val="48"/>
      <color rgb="FF212529"/>
      <name val="Times New Roman"/>
      <family val="1"/>
    </font>
    <font>
      <sz val="36"/>
      <color theme="1"/>
      <name val="微軟正黑體"/>
      <family val="2"/>
      <charset val="136"/>
    </font>
    <font>
      <sz val="36"/>
      <name val="Times New Roman"/>
      <family val="2"/>
      <charset val="136"/>
    </font>
    <font>
      <sz val="36"/>
      <name val="Times New Roman"/>
      <family val="2"/>
    </font>
    <font>
      <sz val="48"/>
      <name val="細明體"/>
      <family val="3"/>
      <charset val="136"/>
    </font>
    <font>
      <sz val="60"/>
      <color theme="1"/>
      <name val="Times New Roman"/>
      <family val="1"/>
    </font>
    <font>
      <sz val="60"/>
      <name val="Times New Roman"/>
      <family val="1"/>
    </font>
    <font>
      <sz val="60"/>
      <color rgb="FFFF0000"/>
      <name val="Times New Roman"/>
      <family val="1"/>
    </font>
    <font>
      <sz val="60"/>
      <name val="Malgun Gothic Semilight"/>
      <family val="2"/>
      <charset val="136"/>
    </font>
    <font>
      <sz val="60"/>
      <name val="微軟正黑體"/>
      <family val="2"/>
      <charset val="136"/>
    </font>
    <font>
      <sz val="60"/>
      <color rgb="FF000000"/>
      <name val="Times New Roman"/>
      <family val="1"/>
    </font>
    <font>
      <sz val="60"/>
      <color rgb="FFFF0000"/>
      <name val="微軟正黑體"/>
      <family val="2"/>
      <charset val="136"/>
    </font>
    <font>
      <sz val="55"/>
      <color theme="1"/>
      <name val="Times New Roman"/>
      <family val="1"/>
    </font>
    <font>
      <sz val="55"/>
      <name val="Times New Roman"/>
      <family val="1"/>
    </font>
    <font>
      <sz val="60"/>
      <color rgb="FFFF0000"/>
      <name val="Malgun Gothic Semilight"/>
      <family val="2"/>
      <charset val="136"/>
    </font>
    <font>
      <sz val="45"/>
      <color theme="1"/>
      <name val="Times New Roman"/>
      <family val="1"/>
    </font>
    <font>
      <sz val="60"/>
      <color rgb="FFFF0000"/>
      <name val="細明體"/>
      <family val="3"/>
      <charset val="136"/>
    </font>
    <font>
      <sz val="55"/>
      <name val="Malgun Gothic Semilight"/>
      <family val="2"/>
      <charset val="136"/>
    </font>
    <font>
      <sz val="55"/>
      <name val="微軟正黑體"/>
      <family val="2"/>
      <charset val="136"/>
    </font>
    <font>
      <sz val="55"/>
      <color theme="1"/>
      <name val="微軟正黑體"/>
      <family val="2"/>
      <charset val="136"/>
    </font>
    <font>
      <sz val="55"/>
      <name val="細明體"/>
      <family val="3"/>
      <charset val="136"/>
    </font>
    <font>
      <sz val="55"/>
      <name val="Times New Roman"/>
      <family val="2"/>
      <charset val="136"/>
    </font>
    <font>
      <sz val="55"/>
      <color theme="1"/>
      <name val="Malgun Gothic Semilight"/>
      <family val="2"/>
      <charset val="136"/>
    </font>
    <font>
      <sz val="55"/>
      <color rgb="FFFF0000"/>
      <name val="微軟正黑體"/>
      <family val="2"/>
      <charset val="136"/>
    </font>
    <font>
      <sz val="55"/>
      <color rgb="FF212529"/>
      <name val="Times New Roman"/>
      <family val="1"/>
    </font>
    <font>
      <sz val="55"/>
      <color rgb="FF000000"/>
      <name val="Times New Roman"/>
      <family val="1"/>
    </font>
    <font>
      <sz val="36"/>
      <color rgb="FF212529"/>
      <name val="Open Sans"/>
      <family val="2"/>
    </font>
    <font>
      <sz val="55"/>
      <name val="Times New Roman"/>
      <family val="2"/>
    </font>
    <font>
      <sz val="55"/>
      <name val="新細明體"/>
      <family val="1"/>
      <charset val="136"/>
    </font>
    <font>
      <sz val="50"/>
      <color theme="1"/>
      <name val="Times New Roman"/>
      <family val="1"/>
    </font>
    <font>
      <sz val="53"/>
      <name val="Times New Roman"/>
      <family val="1"/>
    </font>
    <font>
      <sz val="53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CCFF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8EDEC"/>
        <bgColor rgb="FF000000"/>
      </patternFill>
    </fill>
    <fill>
      <patternFill patternType="solid">
        <fgColor rgb="FFB7DEE8"/>
        <bgColor rgb="FFFFFFFF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 style="thin">
        <color indexed="64"/>
      </right>
      <top/>
      <bottom style="medium">
        <color rgb="FFC00000"/>
      </bottom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thin">
        <color auto="1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21" fillId="0" borderId="0"/>
    <xf numFmtId="0" fontId="21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621">
    <xf numFmtId="0" fontId="0" fillId="0" borderId="0" xfId="0">
      <alignment vertical="center"/>
    </xf>
    <xf numFmtId="0" fontId="3" fillId="5" borderId="0" xfId="1" applyFont="1" applyFill="1" applyAlignment="1">
      <alignment vertical="center" wrapText="1"/>
    </xf>
    <xf numFmtId="164" fontId="5" fillId="5" borderId="0" xfId="1" applyNumberFormat="1" applyFont="1" applyFill="1" applyAlignment="1">
      <alignment horizontal="left" vertical="center" wrapText="1"/>
    </xf>
    <xf numFmtId="164" fontId="3" fillId="5" borderId="0" xfId="1" applyNumberFormat="1" applyFont="1" applyFill="1" applyAlignment="1">
      <alignment horizontal="left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vertical="center" wrapText="1"/>
    </xf>
    <xf numFmtId="0" fontId="6" fillId="5" borderId="2" xfId="1" applyFont="1" applyFill="1" applyBorder="1" applyAlignment="1">
      <alignment vertical="center" wrapText="1"/>
    </xf>
    <xf numFmtId="0" fontId="7" fillId="0" borderId="0" xfId="2" applyFont="1">
      <alignment vertical="center"/>
    </xf>
    <xf numFmtId="165" fontId="7" fillId="0" borderId="0" xfId="2" applyNumberFormat="1" applyFont="1">
      <alignment vertical="center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14" fontId="3" fillId="6" borderId="0" xfId="1" applyNumberFormat="1" applyFont="1" applyFill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10" fillId="8" borderId="2" xfId="1" applyFont="1" applyFill="1" applyBorder="1" applyAlignment="1">
      <alignment horizontal="center" vertical="center" wrapText="1"/>
    </xf>
    <xf numFmtId="0" fontId="11" fillId="0" borderId="0" xfId="2" applyFont="1">
      <alignment vertical="center"/>
    </xf>
    <xf numFmtId="0" fontId="11" fillId="0" borderId="0" xfId="2" applyFont="1" applyAlignment="1">
      <alignment horizontal="right" vertical="center" wrapText="1"/>
    </xf>
    <xf numFmtId="0" fontId="11" fillId="0" borderId="8" xfId="2" applyFont="1" applyBorder="1">
      <alignment vertical="center"/>
    </xf>
    <xf numFmtId="0" fontId="12" fillId="0" borderId="9" xfId="1" applyFont="1" applyBorder="1" applyAlignment="1">
      <alignment horizontal="right" vertical="center" wrapText="1"/>
    </xf>
    <xf numFmtId="0" fontId="11" fillId="0" borderId="1" xfId="2" applyFont="1" applyBorder="1">
      <alignment vertical="center"/>
    </xf>
    <xf numFmtId="0" fontId="12" fillId="0" borderId="2" xfId="1" applyFont="1" applyBorder="1" applyAlignment="1">
      <alignment horizontal="right" vertical="center" wrapText="1"/>
    </xf>
    <xf numFmtId="0" fontId="11" fillId="0" borderId="0" xfId="2" applyFont="1" applyAlignment="1">
      <alignment horizontal="right" vertical="center"/>
    </xf>
    <xf numFmtId="20" fontId="10" fillId="9" borderId="8" xfId="1" applyNumberFormat="1" applyFont="1" applyFill="1" applyBorder="1" applyAlignment="1">
      <alignment horizontal="left" vertical="center" wrapText="1"/>
    </xf>
    <xf numFmtId="20" fontId="10" fillId="9" borderId="0" xfId="1" applyNumberFormat="1" applyFont="1" applyFill="1" applyAlignment="1">
      <alignment horizontal="left" vertical="center" wrapText="1"/>
    </xf>
    <xf numFmtId="0" fontId="10" fillId="9" borderId="10" xfId="1" applyFont="1" applyFill="1" applyBorder="1" applyAlignment="1">
      <alignment horizontal="left" vertical="center" wrapText="1"/>
    </xf>
    <xf numFmtId="0" fontId="14" fillId="9" borderId="10" xfId="1" applyFont="1" applyFill="1" applyBorder="1" applyAlignment="1">
      <alignment horizontal="left" vertical="center" wrapText="1"/>
    </xf>
    <xf numFmtId="0" fontId="15" fillId="8" borderId="0" xfId="1" applyFont="1" applyFill="1" applyAlignment="1">
      <alignment horizontal="center" vertical="center" wrapText="1"/>
    </xf>
    <xf numFmtId="0" fontId="12" fillId="9" borderId="0" xfId="1" applyFont="1" applyFill="1" applyAlignment="1">
      <alignment horizontal="right" vertical="center" wrapText="1"/>
    </xf>
    <xf numFmtId="0" fontId="16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9" borderId="1" xfId="1" applyFont="1" applyFill="1" applyBorder="1" applyAlignment="1">
      <alignment vertical="center" wrapText="1"/>
    </xf>
    <xf numFmtId="0" fontId="17" fillId="0" borderId="2" xfId="2" applyFont="1" applyBorder="1">
      <alignment vertical="center"/>
    </xf>
    <xf numFmtId="0" fontId="14" fillId="9" borderId="7" xfId="1" applyFont="1" applyFill="1" applyBorder="1" applyAlignment="1">
      <alignment horizontal="left" vertical="center" wrapText="1"/>
    </xf>
    <xf numFmtId="16" fontId="7" fillId="0" borderId="0" xfId="2" applyNumberFormat="1" applyFont="1">
      <alignment vertical="center"/>
    </xf>
    <xf numFmtId="0" fontId="14" fillId="8" borderId="0" xfId="1" applyFont="1" applyFill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3" fillId="0" borderId="0" xfId="2" applyFont="1" applyAlignment="1">
      <alignment horizontal="left" vertical="center"/>
    </xf>
    <xf numFmtId="0" fontId="14" fillId="9" borderId="2" xfId="1" applyFont="1" applyFill="1" applyBorder="1" applyAlignment="1">
      <alignment horizontal="left" vertical="center" wrapText="1"/>
    </xf>
    <xf numFmtId="0" fontId="7" fillId="0" borderId="1" xfId="2" applyFont="1" applyBorder="1">
      <alignment vertical="center"/>
    </xf>
    <xf numFmtId="0" fontId="19" fillId="10" borderId="1" xfId="0" applyFont="1" applyFill="1" applyBorder="1" applyAlignment="1">
      <alignment vertical="top" wrapText="1"/>
    </xf>
    <xf numFmtId="0" fontId="20" fillId="0" borderId="0" xfId="0" applyFont="1" applyAlignment="1">
      <alignment vertical="top"/>
    </xf>
    <xf numFmtId="0" fontId="17" fillId="0" borderId="0" xfId="2" applyFont="1">
      <alignment vertical="center"/>
    </xf>
    <xf numFmtId="0" fontId="17" fillId="0" borderId="0" xfId="2" applyFont="1" applyAlignment="1">
      <alignment horizontal="left" vertical="center"/>
    </xf>
    <xf numFmtId="0" fontId="14" fillId="8" borderId="2" xfId="1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right" vertical="center"/>
    </xf>
    <xf numFmtId="0" fontId="11" fillId="0" borderId="2" xfId="2" applyFont="1" applyBorder="1" applyAlignment="1">
      <alignment horizontal="right" vertical="center" wrapText="1"/>
    </xf>
    <xf numFmtId="165" fontId="11" fillId="0" borderId="1" xfId="2" applyNumberFormat="1" applyFont="1" applyBorder="1" applyAlignment="1">
      <alignment horizontal="left" vertical="center"/>
    </xf>
    <xf numFmtId="0" fontId="10" fillId="11" borderId="0" xfId="1" applyFont="1" applyFill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12" fillId="0" borderId="2" xfId="1" applyFont="1" applyBorder="1" applyAlignment="1">
      <alignment horizontal="left" vertical="center" wrapText="1"/>
    </xf>
    <xf numFmtId="20" fontId="10" fillId="9" borderId="1" xfId="1" applyNumberFormat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center" wrapText="1"/>
    </xf>
    <xf numFmtId="0" fontId="12" fillId="12" borderId="2" xfId="1" applyFont="1" applyFill="1" applyBorder="1" applyAlignment="1">
      <alignment horizontal="right" vertical="center" wrapText="1"/>
    </xf>
    <xf numFmtId="0" fontId="12" fillId="9" borderId="1" xfId="1" applyFont="1" applyFill="1" applyBorder="1" applyAlignment="1">
      <alignment horizontal="right" vertical="center" wrapText="1"/>
    </xf>
    <xf numFmtId="0" fontId="12" fillId="12" borderId="0" xfId="1" applyFont="1" applyFill="1" applyAlignment="1">
      <alignment horizontal="right" vertical="center" wrapText="1"/>
    </xf>
    <xf numFmtId="0" fontId="12" fillId="9" borderId="1" xfId="3" applyFont="1" applyFill="1" applyBorder="1" applyAlignment="1">
      <alignment horizontal="right" vertical="center" wrapText="1"/>
    </xf>
    <xf numFmtId="0" fontId="12" fillId="11" borderId="0" xfId="1" applyFont="1" applyFill="1" applyAlignment="1">
      <alignment horizontal="right" vertical="center" wrapText="1"/>
    </xf>
    <xf numFmtId="0" fontId="12" fillId="13" borderId="2" xfId="1" applyFont="1" applyFill="1" applyBorder="1" applyAlignment="1">
      <alignment horizontal="right" vertical="center" wrapText="1"/>
    </xf>
    <xf numFmtId="0" fontId="10" fillId="11" borderId="0" xfId="2" applyFont="1" applyFill="1">
      <alignment vertical="center"/>
    </xf>
    <xf numFmtId="0" fontId="10" fillId="11" borderId="0" xfId="1" applyFont="1" applyFill="1" applyAlignment="1">
      <alignment horizontal="right" vertical="center" wrapText="1"/>
    </xf>
    <xf numFmtId="0" fontId="14" fillId="9" borderId="1" xfId="1" applyFont="1" applyFill="1" applyBorder="1" applyAlignment="1">
      <alignment horizontal="left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vertical="center" wrapText="1"/>
    </xf>
    <xf numFmtId="0" fontId="12" fillId="11" borderId="1" xfId="1" applyFont="1" applyFill="1" applyBorder="1" applyAlignment="1">
      <alignment horizontal="right" vertical="center" wrapText="1"/>
    </xf>
    <xf numFmtId="0" fontId="11" fillId="11" borderId="1" xfId="2" applyFont="1" applyFill="1" applyBorder="1">
      <alignment vertical="center"/>
    </xf>
    <xf numFmtId="0" fontId="12" fillId="9" borderId="0" xfId="1" applyFont="1" applyFill="1" applyAlignment="1">
      <alignment horizontal="left" vertical="center" wrapText="1"/>
    </xf>
    <xf numFmtId="0" fontId="12" fillId="11" borderId="1" xfId="3" applyFont="1" applyFill="1" applyBorder="1" applyAlignment="1">
      <alignment horizontal="right" vertical="center" wrapText="1"/>
    </xf>
    <xf numFmtId="0" fontId="12" fillId="11" borderId="2" xfId="1" applyFont="1" applyFill="1" applyBorder="1" applyAlignment="1">
      <alignment horizontal="right" vertical="center" wrapText="1"/>
    </xf>
    <xf numFmtId="0" fontId="22" fillId="11" borderId="0" xfId="1" applyFont="1" applyFill="1" applyAlignment="1">
      <alignment horizontal="center" vertical="center" wrapText="1"/>
    </xf>
    <xf numFmtId="0" fontId="22" fillId="11" borderId="2" xfId="1" applyFont="1" applyFill="1" applyBorder="1" applyAlignment="1">
      <alignment horizontal="center" vertical="center"/>
    </xf>
    <xf numFmtId="165" fontId="17" fillId="0" borderId="0" xfId="2" applyNumberFormat="1" applyFont="1" applyAlignment="1">
      <alignment horizontal="right" vertical="center"/>
    </xf>
    <xf numFmtId="0" fontId="10" fillId="0" borderId="0" xfId="1" applyFont="1" applyAlignment="1">
      <alignment horizontal="right" vertical="center" wrapText="1"/>
    </xf>
    <xf numFmtId="0" fontId="23" fillId="8" borderId="11" xfId="1" applyFont="1" applyFill="1" applyBorder="1" applyAlignment="1">
      <alignment horizontal="right" vertical="center" wrapText="1"/>
    </xf>
    <xf numFmtId="0" fontId="22" fillId="9" borderId="1" xfId="1" applyFont="1" applyFill="1" applyBorder="1" applyAlignment="1">
      <alignment horizontal="center" vertical="center" wrapText="1"/>
    </xf>
    <xf numFmtId="0" fontId="22" fillId="9" borderId="2" xfId="1" applyFont="1" applyFill="1" applyBorder="1" applyAlignment="1">
      <alignment horizontal="right" vertical="center" wrapText="1"/>
    </xf>
    <xf numFmtId="0" fontId="11" fillId="11" borderId="4" xfId="2" applyFont="1" applyFill="1" applyBorder="1" applyAlignment="1">
      <alignment vertical="center" wrapText="1"/>
    </xf>
    <xf numFmtId="0" fontId="11" fillId="11" borderId="2" xfId="2" applyFont="1" applyFill="1" applyBorder="1" applyAlignment="1">
      <alignment horizontal="right" vertical="center"/>
    </xf>
    <xf numFmtId="0" fontId="22" fillId="9" borderId="4" xfId="1" applyFont="1" applyFill="1" applyBorder="1" applyAlignment="1">
      <alignment horizontal="left" vertical="center" wrapText="1"/>
    </xf>
    <xf numFmtId="0" fontId="22" fillId="9" borderId="0" xfId="1" applyFont="1" applyFill="1" applyAlignment="1">
      <alignment horizontal="righ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right" vertical="center" wrapText="1"/>
    </xf>
    <xf numFmtId="0" fontId="22" fillId="0" borderId="2" xfId="2" applyFont="1" applyBorder="1">
      <alignment vertical="center"/>
    </xf>
    <xf numFmtId="0" fontId="22" fillId="0" borderId="2" xfId="1" applyFont="1" applyBorder="1" applyAlignment="1">
      <alignment vertical="center" wrapText="1"/>
    </xf>
    <xf numFmtId="0" fontId="22" fillId="9" borderId="1" xfId="1" applyFont="1" applyFill="1" applyBorder="1" applyAlignment="1">
      <alignment horizontal="left" vertical="center" wrapText="1"/>
    </xf>
    <xf numFmtId="0" fontId="24" fillId="14" borderId="0" xfId="1" applyFont="1" applyFill="1" applyAlignment="1">
      <alignment horizontal="left" vertical="center" wrapText="1"/>
    </xf>
    <xf numFmtId="0" fontId="10" fillId="0" borderId="0" xfId="2" applyFont="1" applyAlignment="1">
      <alignment vertical="center" wrapText="1"/>
    </xf>
    <xf numFmtId="0" fontId="14" fillId="9" borderId="12" xfId="1" applyFont="1" applyFill="1" applyBorder="1" applyAlignment="1">
      <alignment horizontal="left" vertical="center" wrapText="1"/>
    </xf>
    <xf numFmtId="165" fontId="7" fillId="0" borderId="1" xfId="2" applyNumberFormat="1" applyFont="1" applyBorder="1" applyAlignment="1">
      <alignment horizontal="left" vertical="center"/>
    </xf>
    <xf numFmtId="0" fontId="10" fillId="8" borderId="0" xfId="1" applyFont="1" applyFill="1" applyAlignment="1">
      <alignment horizontal="center" vertical="center" wrapText="1"/>
    </xf>
    <xf numFmtId="0" fontId="25" fillId="0" borderId="8" xfId="1" applyFont="1" applyBorder="1" applyAlignment="1">
      <alignment horizontal="left" vertical="center" wrapText="1"/>
    </xf>
    <xf numFmtId="0" fontId="11" fillId="0" borderId="13" xfId="2" applyFont="1" applyBorder="1" applyAlignment="1">
      <alignment vertical="center" wrapText="1"/>
    </xf>
    <xf numFmtId="0" fontId="25" fillId="0" borderId="1" xfId="1" applyFont="1" applyBorder="1" applyAlignment="1">
      <alignment horizontal="left" vertical="center" wrapText="1"/>
    </xf>
    <xf numFmtId="0" fontId="11" fillId="0" borderId="9" xfId="2" applyFont="1" applyBorder="1" applyAlignment="1">
      <alignment vertical="center" wrapText="1"/>
    </xf>
    <xf numFmtId="0" fontId="10" fillId="0" borderId="0" xfId="0" applyFont="1">
      <alignment vertical="center"/>
    </xf>
    <xf numFmtId="20" fontId="26" fillId="9" borderId="14" xfId="1" applyNumberFormat="1" applyFont="1" applyFill="1" applyBorder="1" applyAlignment="1">
      <alignment horizontal="left" vertical="center" wrapText="1"/>
    </xf>
    <xf numFmtId="0" fontId="27" fillId="9" borderId="15" xfId="1" applyFont="1" applyFill="1" applyBorder="1" applyAlignment="1">
      <alignment horizontal="left" vertical="center" wrapText="1"/>
    </xf>
    <xf numFmtId="165" fontId="28" fillId="0" borderId="0" xfId="2" applyNumberFormat="1" applyFont="1">
      <alignment vertical="center"/>
    </xf>
    <xf numFmtId="165" fontId="7" fillId="11" borderId="1" xfId="2" applyNumberFormat="1" applyFont="1" applyFill="1" applyBorder="1" applyAlignment="1">
      <alignment horizontal="left" vertical="center"/>
    </xf>
    <xf numFmtId="0" fontId="29" fillId="0" borderId="1" xfId="2" applyFont="1" applyBorder="1">
      <alignment vertical="center"/>
    </xf>
    <xf numFmtId="0" fontId="11" fillId="0" borderId="0" xfId="2" applyFont="1" applyAlignment="1">
      <alignment vertical="center" wrapText="1"/>
    </xf>
    <xf numFmtId="0" fontId="30" fillId="0" borderId="1" xfId="2" applyFont="1" applyBorder="1">
      <alignment vertical="center"/>
    </xf>
    <xf numFmtId="0" fontId="24" fillId="14" borderId="1" xfId="1" applyFont="1" applyFill="1" applyBorder="1" applyAlignment="1">
      <alignment horizontal="left" vertical="center" wrapText="1"/>
    </xf>
    <xf numFmtId="20" fontId="10" fillId="0" borderId="1" xfId="1" applyNumberFormat="1" applyFont="1" applyBorder="1" applyAlignment="1">
      <alignment horizontal="left" vertical="center" wrapText="1"/>
    </xf>
    <xf numFmtId="0" fontId="31" fillId="9" borderId="2" xfId="1" applyFont="1" applyFill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165" fontId="32" fillId="0" borderId="0" xfId="1" applyNumberFormat="1" applyFont="1" applyAlignment="1">
      <alignment horizontal="right" vertical="center"/>
    </xf>
    <xf numFmtId="165" fontId="7" fillId="0" borderId="0" xfId="1" applyNumberFormat="1" applyFont="1" applyAlignment="1">
      <alignment vertical="center"/>
    </xf>
    <xf numFmtId="0" fontId="32" fillId="0" borderId="0" xfId="2" applyFont="1">
      <alignment vertical="center"/>
    </xf>
    <xf numFmtId="0" fontId="31" fillId="0" borderId="1" xfId="1" applyFont="1" applyBorder="1" applyAlignment="1">
      <alignment vertical="center" wrapText="1"/>
    </xf>
    <xf numFmtId="20" fontId="14" fillId="9" borderId="2" xfId="1" applyNumberFormat="1" applyFont="1" applyFill="1" applyBorder="1" applyAlignment="1">
      <alignment horizontal="left" vertical="center" wrapText="1"/>
    </xf>
    <xf numFmtId="165" fontId="7" fillId="11" borderId="0" xfId="2" applyNumberFormat="1" applyFont="1" applyFill="1">
      <alignment vertical="center"/>
    </xf>
    <xf numFmtId="165" fontId="32" fillId="0" borderId="0" xfId="1" applyNumberFormat="1" applyFont="1"/>
    <xf numFmtId="165" fontId="32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vertical="center" wrapText="1"/>
    </xf>
    <xf numFmtId="0" fontId="14" fillId="0" borderId="1" xfId="1" applyFont="1" applyBorder="1" applyAlignment="1">
      <alignment vertical="center" wrapText="1"/>
    </xf>
    <xf numFmtId="20" fontId="10" fillId="9" borderId="2" xfId="1" applyNumberFormat="1" applyFont="1" applyFill="1" applyBorder="1" applyAlignment="1">
      <alignment horizontal="left" vertical="center" wrapText="1"/>
    </xf>
    <xf numFmtId="0" fontId="14" fillId="8" borderId="0" xfId="1" applyFont="1" applyFill="1" applyAlignment="1">
      <alignment horizontal="right" vertical="center" wrapText="1"/>
    </xf>
    <xf numFmtId="0" fontId="33" fillId="0" borderId="1" xfId="1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49" fontId="22" fillId="0" borderId="0" xfId="1" applyNumberFormat="1" applyFont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7" fillId="0" borderId="1" xfId="2" applyFont="1" applyBorder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24" fillId="14" borderId="16" xfId="1" applyFont="1" applyFill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20" fontId="14" fillId="9" borderId="2" xfId="1" applyNumberFormat="1" applyFont="1" applyFill="1" applyBorder="1" applyAlignment="1">
      <alignment horizontal="right" vertical="center" wrapText="1"/>
    </xf>
    <xf numFmtId="0" fontId="14" fillId="9" borderId="7" xfId="1" applyFont="1" applyFill="1" applyBorder="1" applyAlignment="1">
      <alignment horizontal="right" vertical="center" wrapText="1"/>
    </xf>
    <xf numFmtId="0" fontId="34" fillId="0" borderId="0" xfId="2" applyFont="1">
      <alignment vertical="center"/>
    </xf>
    <xf numFmtId="165" fontId="7" fillId="0" borderId="0" xfId="2" applyNumberFormat="1" applyFont="1" applyAlignment="1">
      <alignment horizontal="right" vertical="center"/>
    </xf>
    <xf numFmtId="0" fontId="12" fillId="11" borderId="1" xfId="1" applyFont="1" applyFill="1" applyBorder="1" applyAlignment="1">
      <alignment horizontal="left" vertical="center" wrapText="1"/>
    </xf>
    <xf numFmtId="0" fontId="35" fillId="11" borderId="2" xfId="1" applyFont="1" applyFill="1" applyBorder="1" applyAlignment="1">
      <alignment horizontal="right" vertical="center" wrapText="1"/>
    </xf>
    <xf numFmtId="49" fontId="22" fillId="0" borderId="0" xfId="1" applyNumberFormat="1" applyFont="1" applyAlignment="1">
      <alignment vertical="center" wrapText="1"/>
    </xf>
    <xf numFmtId="0" fontId="22" fillId="0" borderId="0" xfId="2" applyFont="1">
      <alignment vertical="center"/>
    </xf>
    <xf numFmtId="0" fontId="22" fillId="0" borderId="1" xfId="2" applyFont="1" applyBorder="1" applyAlignment="1">
      <alignment vertical="center" wrapText="1"/>
    </xf>
    <xf numFmtId="0" fontId="22" fillId="0" borderId="2" xfId="1" quotePrefix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165" fontId="34" fillId="11" borderId="1" xfId="2" applyNumberFormat="1" applyFont="1" applyFill="1" applyBorder="1" applyAlignment="1">
      <alignment horizontal="left" vertical="center"/>
    </xf>
    <xf numFmtId="0" fontId="32" fillId="0" borderId="0" xfId="1" applyFont="1" applyAlignment="1">
      <alignment horizontal="left" vertical="center"/>
    </xf>
    <xf numFmtId="165" fontId="7" fillId="0" borderId="0" xfId="1" applyNumberFormat="1" applyFont="1"/>
    <xf numFmtId="0" fontId="14" fillId="8" borderId="20" xfId="1" applyFont="1" applyFill="1" applyBorder="1" applyAlignment="1">
      <alignment horizontal="center" vertical="center" wrapText="1"/>
    </xf>
    <xf numFmtId="2" fontId="12" fillId="0" borderId="21" xfId="1" applyNumberFormat="1" applyFont="1" applyBorder="1" applyAlignment="1">
      <alignment horizontal="left" vertical="center" wrapText="1"/>
    </xf>
    <xf numFmtId="2" fontId="12" fillId="0" borderId="11" xfId="1" applyNumberFormat="1" applyFont="1" applyBorder="1" applyAlignment="1">
      <alignment horizontal="left" vertical="center" wrapText="1"/>
    </xf>
    <xf numFmtId="2" fontId="12" fillId="0" borderId="20" xfId="1" applyNumberFormat="1" applyFont="1" applyBorder="1" applyAlignment="1">
      <alignment horizontal="left" vertical="center" wrapText="1"/>
    </xf>
    <xf numFmtId="2" fontId="12" fillId="11" borderId="21" xfId="1" applyNumberFormat="1" applyFont="1" applyFill="1" applyBorder="1" applyAlignment="1">
      <alignment horizontal="left" vertical="center" wrapText="1"/>
    </xf>
    <xf numFmtId="166" fontId="11" fillId="0" borderId="21" xfId="2" applyNumberFormat="1" applyFont="1" applyBorder="1" applyAlignment="1">
      <alignment horizontal="left" vertical="center" wrapText="1"/>
    </xf>
    <xf numFmtId="20" fontId="10" fillId="0" borderId="21" xfId="1" applyNumberFormat="1" applyFont="1" applyBorder="1" applyAlignment="1">
      <alignment horizontal="left" vertical="center" wrapText="1"/>
    </xf>
    <xf numFmtId="20" fontId="14" fillId="9" borderId="11" xfId="1" applyNumberFormat="1" applyFont="1" applyFill="1" applyBorder="1" applyAlignment="1">
      <alignment horizontal="left" vertical="center" wrapText="1"/>
    </xf>
    <xf numFmtId="165" fontId="37" fillId="0" borderId="1" xfId="2" applyNumberFormat="1" applyFont="1" applyBorder="1" applyAlignment="1">
      <alignment horizontal="left" vertical="center"/>
    </xf>
    <xf numFmtId="0" fontId="32" fillId="0" borderId="0" xfId="2" applyFont="1" applyAlignment="1">
      <alignment horizontal="left" vertical="center"/>
    </xf>
    <xf numFmtId="165" fontId="32" fillId="0" borderId="0" xfId="1" applyNumberFormat="1" applyFont="1" applyAlignment="1">
      <alignment horizontal="right"/>
    </xf>
    <xf numFmtId="2" fontId="12" fillId="0" borderId="0" xfId="1" applyNumberFormat="1" applyFont="1" applyAlignment="1">
      <alignment horizontal="left" vertical="center" wrapText="1"/>
    </xf>
    <xf numFmtId="0" fontId="11" fillId="11" borderId="1" xfId="2" applyFont="1" applyFill="1" applyBorder="1" applyAlignment="1">
      <alignment vertical="center" wrapText="1"/>
    </xf>
    <xf numFmtId="2" fontId="12" fillId="11" borderId="0" xfId="1" applyNumberFormat="1" applyFont="1" applyFill="1" applyAlignment="1">
      <alignment horizontal="left" vertical="center" wrapText="1"/>
    </xf>
    <xf numFmtId="20" fontId="38" fillId="0" borderId="1" xfId="1" applyNumberFormat="1" applyFont="1" applyBorder="1" applyAlignment="1">
      <alignment horizontal="left" vertical="center" wrapText="1"/>
    </xf>
    <xf numFmtId="0" fontId="14" fillId="9" borderId="0" xfId="1" applyFont="1" applyFill="1" applyAlignment="1">
      <alignment horizontal="left" vertical="center" wrapText="1"/>
    </xf>
    <xf numFmtId="0" fontId="36" fillId="0" borderId="1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165" fontId="12" fillId="0" borderId="1" xfId="2" applyNumberFormat="1" applyFont="1" applyBorder="1" applyAlignment="1">
      <alignment horizontal="left" vertical="center"/>
    </xf>
    <xf numFmtId="2" fontId="12" fillId="11" borderId="2" xfId="1" applyNumberFormat="1" applyFont="1" applyFill="1" applyBorder="1" applyAlignment="1">
      <alignment horizontal="left" vertical="center" wrapText="1"/>
    </xf>
    <xf numFmtId="0" fontId="36" fillId="9" borderId="1" xfId="4" applyFont="1" applyFill="1" applyBorder="1" applyAlignment="1">
      <alignment horizontal="center" vertical="center" wrapText="1"/>
    </xf>
    <xf numFmtId="49" fontId="12" fillId="11" borderId="0" xfId="1" applyNumberFormat="1" applyFont="1" applyFill="1" applyAlignment="1">
      <alignment horizontal="left" vertical="center" wrapText="1"/>
    </xf>
    <xf numFmtId="167" fontId="11" fillId="11" borderId="1" xfId="2" applyNumberFormat="1" applyFont="1" applyFill="1" applyBorder="1" applyAlignment="1">
      <alignment horizontal="left" vertical="center" wrapText="1"/>
    </xf>
    <xf numFmtId="167" fontId="11" fillId="0" borderId="0" xfId="2" applyNumberFormat="1" applyFont="1" applyAlignment="1">
      <alignment horizontal="center" vertical="center" wrapText="1"/>
    </xf>
    <xf numFmtId="2" fontId="12" fillId="0" borderId="0" xfId="1" applyNumberFormat="1" applyFont="1" applyAlignment="1">
      <alignment vertical="center" wrapText="1"/>
    </xf>
    <xf numFmtId="2" fontId="12" fillId="0" borderId="1" xfId="1" applyNumberFormat="1" applyFont="1" applyBorder="1" applyAlignment="1">
      <alignment vertical="center" wrapText="1"/>
    </xf>
    <xf numFmtId="49" fontId="12" fillId="0" borderId="1" xfId="1" applyNumberFormat="1" applyFont="1" applyBorder="1" applyAlignment="1">
      <alignment vertical="center" wrapText="1"/>
    </xf>
    <xf numFmtId="49" fontId="12" fillId="0" borderId="0" xfId="1" applyNumberFormat="1" applyFont="1" applyAlignment="1">
      <alignment vertical="center" wrapText="1"/>
    </xf>
    <xf numFmtId="0" fontId="12" fillId="11" borderId="1" xfId="2" applyFont="1" applyFill="1" applyBorder="1" applyAlignment="1">
      <alignment horizontal="left" vertical="center" wrapText="1"/>
    </xf>
    <xf numFmtId="0" fontId="11" fillId="11" borderId="2" xfId="2" applyFont="1" applyFill="1" applyBorder="1" applyAlignment="1">
      <alignment vertical="center" wrapText="1"/>
    </xf>
    <xf numFmtId="20" fontId="10" fillId="0" borderId="2" xfId="1" applyNumberFormat="1" applyFont="1" applyBorder="1" applyAlignment="1">
      <alignment horizontal="left" vertical="center" wrapText="1"/>
    </xf>
    <xf numFmtId="0" fontId="10" fillId="9" borderId="0" xfId="1" applyFont="1" applyFill="1" applyAlignment="1">
      <alignment horizontal="left" vertical="center" wrapText="1"/>
    </xf>
    <xf numFmtId="0" fontId="10" fillId="9" borderId="7" xfId="1" applyFont="1" applyFill="1" applyBorder="1" applyAlignment="1">
      <alignment horizontal="left" vertical="center" wrapText="1"/>
    </xf>
    <xf numFmtId="0" fontId="37" fillId="11" borderId="1" xfId="2" applyFont="1" applyFill="1" applyBorder="1" applyAlignment="1">
      <alignment horizontal="left" vertical="center"/>
    </xf>
    <xf numFmtId="0" fontId="11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2" fontId="12" fillId="0" borderId="1" xfId="1" applyNumberFormat="1" applyFont="1" applyBorder="1" applyAlignment="1">
      <alignment horizontal="left" vertical="center" wrapText="1"/>
    </xf>
    <xf numFmtId="0" fontId="11" fillId="11" borderId="0" xfId="2" applyFont="1" applyFill="1" applyAlignment="1">
      <alignment vertical="center" wrapText="1"/>
    </xf>
    <xf numFmtId="167" fontId="11" fillId="11" borderId="1" xfId="2" applyNumberFormat="1" applyFont="1" applyFill="1" applyBorder="1" applyAlignment="1">
      <alignment vertical="center" wrapText="1"/>
    </xf>
    <xf numFmtId="167" fontId="11" fillId="11" borderId="0" xfId="2" applyNumberFormat="1" applyFont="1" applyFill="1" applyAlignment="1">
      <alignment vertical="center" wrapText="1"/>
    </xf>
    <xf numFmtId="0" fontId="14" fillId="10" borderId="0" xfId="0" applyFont="1" applyFill="1" applyAlignment="1">
      <alignment vertical="top"/>
    </xf>
    <xf numFmtId="0" fontId="17" fillId="0" borderId="0" xfId="2" applyFont="1" applyAlignment="1">
      <alignment vertical="center" wrapText="1"/>
    </xf>
    <xf numFmtId="49" fontId="17" fillId="0" borderId="0" xfId="2" applyNumberFormat="1" applyFont="1" applyAlignment="1">
      <alignment horizontal="left" vertical="center" wrapText="1"/>
    </xf>
    <xf numFmtId="165" fontId="34" fillId="0" borderId="1" xfId="2" applyNumberFormat="1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1" fillId="0" borderId="2" xfId="2" applyFont="1" applyBorder="1" applyAlignment="1">
      <alignment vertical="center" wrapText="1"/>
    </xf>
    <xf numFmtId="0" fontId="10" fillId="0" borderId="0" xfId="2" applyFont="1" applyAlignment="1">
      <alignment horizontal="left" vertical="center" wrapText="1"/>
    </xf>
    <xf numFmtId="167" fontId="11" fillId="11" borderId="0" xfId="2" quotePrefix="1" applyNumberFormat="1" applyFont="1" applyFill="1" applyAlignment="1">
      <alignment horizontal="center" vertical="center" wrapText="1"/>
    </xf>
    <xf numFmtId="0" fontId="12" fillId="0" borderId="1" xfId="2" applyFont="1" applyBorder="1" applyAlignment="1">
      <alignment horizontal="left" vertical="center" wrapText="1"/>
    </xf>
    <xf numFmtId="0" fontId="11" fillId="0" borderId="2" xfId="2" applyFont="1" applyBorder="1">
      <alignment vertical="center"/>
    </xf>
    <xf numFmtId="20" fontId="32" fillId="0" borderId="1" xfId="1" applyNumberFormat="1" applyFont="1" applyBorder="1" applyAlignment="1">
      <alignment horizontal="left" vertical="center" wrapText="1"/>
    </xf>
    <xf numFmtId="20" fontId="32" fillId="0" borderId="2" xfId="1" applyNumberFormat="1" applyFont="1" applyBorder="1" applyAlignment="1">
      <alignment horizontal="left" vertical="center" wrapText="1"/>
    </xf>
    <xf numFmtId="0" fontId="32" fillId="9" borderId="0" xfId="1" applyFont="1" applyFill="1" applyAlignment="1">
      <alignment horizontal="left" vertical="center" wrapText="1"/>
    </xf>
    <xf numFmtId="0" fontId="32" fillId="9" borderId="7" xfId="1" applyFont="1" applyFill="1" applyBorder="1" applyAlignment="1">
      <alignment horizontal="left" vertical="center" wrapText="1"/>
    </xf>
    <xf numFmtId="165" fontId="34" fillId="0" borderId="1" xfId="1" applyNumberFormat="1" applyFont="1" applyBorder="1" applyAlignment="1">
      <alignment horizontal="left" vertical="center" wrapText="1"/>
    </xf>
    <xf numFmtId="49" fontId="11" fillId="0" borderId="0" xfId="2" applyNumberFormat="1" applyFont="1" applyAlignment="1">
      <alignment vertical="center" wrapText="1"/>
    </xf>
    <xf numFmtId="0" fontId="11" fillId="0" borderId="1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7" fillId="9" borderId="1" xfId="1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 wrapText="1"/>
    </xf>
    <xf numFmtId="0" fontId="42" fillId="0" borderId="1" xfId="1" applyFont="1" applyBorder="1" applyAlignment="1">
      <alignment vertical="center" wrapText="1"/>
    </xf>
    <xf numFmtId="165" fontId="11" fillId="11" borderId="1" xfId="2" applyNumberFormat="1" applyFont="1" applyFill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42" fillId="0" borderId="1" xfId="1" applyFont="1" applyBorder="1" applyAlignment="1">
      <alignment horizontal="left" vertical="center" wrapText="1"/>
    </xf>
    <xf numFmtId="0" fontId="32" fillId="9" borderId="1" xfId="1" applyFont="1" applyFill="1" applyBorder="1" applyAlignment="1">
      <alignment horizontal="left" vertical="center" wrapText="1"/>
    </xf>
    <xf numFmtId="165" fontId="43" fillId="0" borderId="1" xfId="2" applyNumberFormat="1" applyFont="1" applyBorder="1" applyAlignment="1">
      <alignment horizontal="left" vertical="center"/>
    </xf>
    <xf numFmtId="0" fontId="10" fillId="8" borderId="20" xfId="1" applyFont="1" applyFill="1" applyBorder="1" applyAlignment="1">
      <alignment horizontal="left" vertical="center" wrapText="1"/>
    </xf>
    <xf numFmtId="166" fontId="12" fillId="0" borderId="21" xfId="1" applyNumberFormat="1" applyFont="1" applyBorder="1" applyAlignment="1">
      <alignment horizontal="left" vertical="center" wrapText="1"/>
    </xf>
    <xf numFmtId="166" fontId="12" fillId="0" borderId="11" xfId="1" applyNumberFormat="1" applyFont="1" applyBorder="1" applyAlignment="1">
      <alignment horizontal="left" vertical="center" wrapText="1"/>
    </xf>
    <xf numFmtId="166" fontId="12" fillId="0" borderId="21" xfId="2" applyNumberFormat="1" applyFont="1" applyBorder="1" applyAlignment="1">
      <alignment horizontal="left"/>
    </xf>
    <xf numFmtId="166" fontId="12" fillId="0" borderId="11" xfId="2" applyNumberFormat="1" applyFont="1" applyBorder="1" applyAlignment="1">
      <alignment horizontal="left"/>
    </xf>
    <xf numFmtId="166" fontId="12" fillId="0" borderId="20" xfId="2" applyNumberFormat="1" applyFont="1" applyBorder="1" applyAlignment="1">
      <alignment horizontal="left"/>
    </xf>
    <xf numFmtId="166" fontId="12" fillId="0" borderId="20" xfId="1" applyNumberFormat="1" applyFont="1" applyBorder="1" applyAlignment="1">
      <alignment horizontal="left" vertical="center" wrapText="1"/>
    </xf>
    <xf numFmtId="0" fontId="17" fillId="11" borderId="1" xfId="2" applyFont="1" applyFill="1" applyBorder="1">
      <alignment vertical="center"/>
    </xf>
    <xf numFmtId="166" fontId="17" fillId="0" borderId="0" xfId="2" applyNumberFormat="1" applyFont="1" applyAlignment="1">
      <alignment horizontal="left"/>
    </xf>
    <xf numFmtId="20" fontId="32" fillId="0" borderId="21" xfId="1" applyNumberFormat="1" applyFont="1" applyBorder="1" applyAlignment="1">
      <alignment horizontal="left" vertical="center" wrapText="1"/>
    </xf>
    <xf numFmtId="20" fontId="32" fillId="0" borderId="11" xfId="1" applyNumberFormat="1" applyFont="1" applyBorder="1" applyAlignment="1">
      <alignment horizontal="left" vertical="center" wrapText="1"/>
    </xf>
    <xf numFmtId="0" fontId="32" fillId="9" borderId="21" xfId="1" applyFont="1" applyFill="1" applyBorder="1" applyAlignment="1">
      <alignment horizontal="left" vertical="center" wrapText="1"/>
    </xf>
    <xf numFmtId="0" fontId="32" fillId="9" borderId="12" xfId="1" applyFont="1" applyFill="1" applyBorder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17" fillId="15" borderId="1" xfId="2" applyFont="1" applyFill="1" applyBorder="1" applyAlignment="1">
      <alignment horizontal="left" vertical="center"/>
    </xf>
    <xf numFmtId="0" fontId="10" fillId="15" borderId="0" xfId="2" applyFont="1" applyFill="1" applyAlignment="1">
      <alignment vertical="center" wrapText="1"/>
    </xf>
    <xf numFmtId="0" fontId="17" fillId="15" borderId="0" xfId="2" applyFont="1" applyFill="1">
      <alignment vertical="center"/>
    </xf>
    <xf numFmtId="0" fontId="17" fillId="0" borderId="0" xfId="2" applyFont="1" applyAlignment="1">
      <alignment horizontal="left" vertical="center" wrapText="1"/>
    </xf>
    <xf numFmtId="0" fontId="32" fillId="9" borderId="26" xfId="1" applyFont="1" applyFill="1" applyBorder="1" applyAlignment="1">
      <alignment horizontal="left" vertical="center" wrapText="1"/>
    </xf>
    <xf numFmtId="0" fontId="42" fillId="9" borderId="10" xfId="1" applyFont="1" applyFill="1" applyBorder="1" applyAlignment="1">
      <alignment horizontal="left" vertical="center" wrapText="1"/>
    </xf>
    <xf numFmtId="0" fontId="17" fillId="15" borderId="1" xfId="2" applyFont="1" applyFill="1" applyBorder="1" applyAlignment="1">
      <alignment vertical="center" wrapText="1"/>
    </xf>
    <xf numFmtId="0" fontId="17" fillId="15" borderId="0" xfId="1" applyFont="1" applyFill="1" applyAlignment="1">
      <alignment horizontal="left" vertical="center"/>
    </xf>
    <xf numFmtId="0" fontId="37" fillId="15" borderId="0" xfId="2" applyFont="1" applyFill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11" fillId="11" borderId="1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11" borderId="1" xfId="2" applyFont="1" applyFill="1" applyBorder="1">
      <alignment vertical="center"/>
    </xf>
    <xf numFmtId="0" fontId="17" fillId="15" borderId="1" xfId="1" applyFont="1" applyFill="1" applyBorder="1" applyAlignment="1">
      <alignment horizontal="left" vertical="center" wrapText="1"/>
    </xf>
    <xf numFmtId="0" fontId="17" fillId="15" borderId="0" xfId="1" applyFont="1" applyFill="1" applyAlignment="1">
      <alignment horizontal="left" vertical="center" wrapText="1"/>
    </xf>
    <xf numFmtId="0" fontId="17" fillId="15" borderId="0" xfId="2" applyFont="1" applyFill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49" fontId="12" fillId="0" borderId="2" xfId="1" applyNumberFormat="1" applyFont="1" applyBorder="1" applyAlignment="1">
      <alignment horizontal="left" vertical="center" wrapText="1"/>
    </xf>
    <xf numFmtId="0" fontId="11" fillId="11" borderId="1" xfId="2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0" fontId="17" fillId="15" borderId="1" xfId="2" applyFont="1" applyFill="1" applyBorder="1">
      <alignment vertical="center"/>
    </xf>
    <xf numFmtId="0" fontId="17" fillId="15" borderId="0" xfId="2" applyFont="1" applyFill="1" applyAlignment="1">
      <alignment vertical="center" wrapText="1"/>
    </xf>
    <xf numFmtId="0" fontId="12" fillId="8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left" vertical="center" wrapText="1"/>
    </xf>
    <xf numFmtId="0" fontId="12" fillId="9" borderId="1" xfId="3" applyFont="1" applyFill="1" applyBorder="1" applyAlignment="1">
      <alignment horizontal="left" vertical="center" wrapText="1"/>
    </xf>
    <xf numFmtId="49" fontId="12" fillId="9" borderId="1" xfId="1" applyNumberFormat="1" applyFont="1" applyFill="1" applyBorder="1" applyAlignment="1">
      <alignment horizontal="left" vertical="center" wrapText="1"/>
    </xf>
    <xf numFmtId="49" fontId="12" fillId="9" borderId="0" xfId="1" applyNumberFormat="1" applyFont="1" applyFill="1" applyAlignment="1">
      <alignment horizontal="left" vertical="center" wrapText="1"/>
    </xf>
    <xf numFmtId="49" fontId="10" fillId="15" borderId="0" xfId="1" applyNumberFormat="1" applyFont="1" applyFill="1" applyAlignment="1">
      <alignment horizontal="left" vertical="center" wrapText="1"/>
    </xf>
    <xf numFmtId="0" fontId="10" fillId="15" borderId="0" xfId="2" applyFont="1" applyFill="1">
      <alignment vertical="center"/>
    </xf>
    <xf numFmtId="0" fontId="10" fillId="0" borderId="0" xfId="2" applyFont="1">
      <alignment vertical="center"/>
    </xf>
    <xf numFmtId="0" fontId="12" fillId="8" borderId="11" xfId="1" applyFont="1" applyFill="1" applyBorder="1" applyAlignment="1">
      <alignment horizontal="center" vertical="center" wrapText="1"/>
    </xf>
    <xf numFmtId="0" fontId="12" fillId="9" borderId="21" xfId="1" applyFont="1" applyFill="1" applyBorder="1" applyAlignment="1">
      <alignment horizontal="left" vertical="center" wrapText="1"/>
    </xf>
    <xf numFmtId="0" fontId="12" fillId="9" borderId="11" xfId="1" applyFont="1" applyFill="1" applyBorder="1" applyAlignment="1">
      <alignment horizontal="left" vertical="center" wrapText="1"/>
    </xf>
    <xf numFmtId="0" fontId="12" fillId="9" borderId="20" xfId="1" applyFont="1" applyFill="1" applyBorder="1" applyAlignment="1">
      <alignment horizontal="left" vertical="center" wrapText="1"/>
    </xf>
    <xf numFmtId="0" fontId="11" fillId="0" borderId="21" xfId="2" applyFont="1" applyBorder="1" applyAlignment="1">
      <alignment vertical="center" wrapText="1"/>
    </xf>
    <xf numFmtId="0" fontId="12" fillId="0" borderId="11" xfId="1" applyFont="1" applyBorder="1" applyAlignment="1">
      <alignment horizontal="left" vertical="center" wrapText="1"/>
    </xf>
    <xf numFmtId="49" fontId="15" fillId="15" borderId="0" xfId="5" applyNumberFormat="1" applyFont="1" applyFill="1" applyAlignment="1">
      <alignment horizontal="left" vertical="center" wrapText="1"/>
    </xf>
    <xf numFmtId="0" fontId="15" fillId="15" borderId="0" xfId="1" applyFont="1" applyFill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20" fontId="10" fillId="9" borderId="21" xfId="1" applyNumberFormat="1" applyFont="1" applyFill="1" applyBorder="1" applyAlignment="1">
      <alignment horizontal="left" vertical="center" wrapText="1"/>
    </xf>
    <xf numFmtId="20" fontId="10" fillId="9" borderId="11" xfId="1" applyNumberFormat="1" applyFont="1" applyFill="1" applyBorder="1" applyAlignment="1">
      <alignment horizontal="left" vertical="center" wrapText="1"/>
    </xf>
    <xf numFmtId="0" fontId="32" fillId="8" borderId="2" xfId="1" applyFont="1" applyFill="1" applyBorder="1" applyAlignment="1">
      <alignment horizontal="center" vertical="center" wrapText="1"/>
    </xf>
    <xf numFmtId="0" fontId="10" fillId="9" borderId="1" xfId="1" applyFont="1" applyFill="1" applyBorder="1" applyAlignment="1">
      <alignment vertical="center" wrapText="1"/>
    </xf>
    <xf numFmtId="0" fontId="32" fillId="9" borderId="2" xfId="1" applyFont="1" applyFill="1" applyBorder="1" applyAlignment="1">
      <alignment horizontal="left" vertical="center" wrapText="1"/>
    </xf>
    <xf numFmtId="0" fontId="10" fillId="11" borderId="1" xfId="1" applyFont="1" applyFill="1" applyBorder="1" applyAlignment="1">
      <alignment vertical="center" wrapText="1"/>
    </xf>
    <xf numFmtId="0" fontId="32" fillId="9" borderId="14" xfId="1" applyFont="1" applyFill="1" applyBorder="1" applyAlignment="1">
      <alignment horizontal="left" vertical="center" wrapText="1"/>
    </xf>
    <xf numFmtId="0" fontId="32" fillId="9" borderId="1" xfId="1" applyFont="1" applyFill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32" fillId="16" borderId="1" xfId="1" applyFont="1" applyFill="1" applyBorder="1" applyAlignment="1">
      <alignment horizontal="left" vertical="center" wrapText="1"/>
    </xf>
    <xf numFmtId="0" fontId="32" fillId="15" borderId="0" xfId="1" applyFont="1" applyFill="1" applyAlignment="1">
      <alignment horizontal="left" vertical="center" wrapText="1"/>
    </xf>
    <xf numFmtId="0" fontId="32" fillId="0" borderId="0" xfId="1" applyFont="1" applyAlignment="1">
      <alignment horizontal="left" vertical="center" wrapText="1"/>
    </xf>
    <xf numFmtId="20" fontId="32" fillId="9" borderId="2" xfId="1" applyNumberFormat="1" applyFont="1" applyFill="1" applyBorder="1" applyAlignment="1">
      <alignment horizontal="left" vertical="center" wrapText="1"/>
    </xf>
    <xf numFmtId="0" fontId="42" fillId="8" borderId="11" xfId="1" applyFont="1" applyFill="1" applyBorder="1" applyAlignment="1">
      <alignment horizontal="center" vertical="center" wrapText="1"/>
    </xf>
    <xf numFmtId="0" fontId="42" fillId="9" borderId="21" xfId="1" applyFont="1" applyFill="1" applyBorder="1" applyAlignment="1">
      <alignment horizontal="left" vertical="center" wrapText="1"/>
    </xf>
    <xf numFmtId="0" fontId="42" fillId="9" borderId="11" xfId="1" applyFont="1" applyFill="1" applyBorder="1" applyAlignment="1">
      <alignment horizontal="left" vertical="center" wrapText="1"/>
    </xf>
    <xf numFmtId="0" fontId="42" fillId="9" borderId="20" xfId="1" applyFont="1" applyFill="1" applyBorder="1" applyAlignment="1">
      <alignment horizontal="left" vertical="center" wrapText="1"/>
    </xf>
    <xf numFmtId="0" fontId="45" fillId="0" borderId="0" xfId="1" applyFont="1" applyAlignment="1">
      <alignment horizontal="left" vertical="center" wrapText="1"/>
    </xf>
    <xf numFmtId="0" fontId="42" fillId="9" borderId="1" xfId="1" applyFont="1" applyFill="1" applyBorder="1" applyAlignment="1">
      <alignment vertical="center" wrapText="1"/>
    </xf>
    <xf numFmtId="0" fontId="42" fillId="9" borderId="0" xfId="1" applyFont="1" applyFill="1" applyAlignment="1">
      <alignment horizontal="left" vertical="center" wrapText="1"/>
    </xf>
    <xf numFmtId="0" fontId="42" fillId="9" borderId="1" xfId="1" applyFont="1" applyFill="1" applyBorder="1" applyAlignment="1">
      <alignment horizontal="left" vertical="center" wrapText="1"/>
    </xf>
    <xf numFmtId="0" fontId="42" fillId="9" borderId="7" xfId="1" applyFont="1" applyFill="1" applyBorder="1" applyAlignment="1">
      <alignment horizontal="left" vertical="center" wrapText="1"/>
    </xf>
    <xf numFmtId="0" fontId="42" fillId="17" borderId="1" xfId="6" applyFont="1" applyFill="1" applyBorder="1" applyAlignment="1">
      <alignment vertical="center"/>
    </xf>
    <xf numFmtId="2" fontId="32" fillId="18" borderId="1" xfId="6" applyNumberFormat="1" applyFont="1" applyFill="1" applyBorder="1" applyAlignment="1">
      <alignment vertical="center" wrapText="1"/>
    </xf>
    <xf numFmtId="0" fontId="32" fillId="18" borderId="0" xfId="6" applyNumberFormat="1" applyFont="1" applyFill="1" applyBorder="1" applyAlignment="1">
      <alignment vertical="center" wrapText="1"/>
    </xf>
    <xf numFmtId="0" fontId="32" fillId="18" borderId="1" xfId="4" applyFont="1" applyFill="1" applyBorder="1" applyAlignment="1">
      <alignment vertical="center" wrapText="1"/>
    </xf>
    <xf numFmtId="0" fontId="32" fillId="18" borderId="0" xfId="4" applyFont="1" applyFill="1" applyBorder="1" applyAlignment="1">
      <alignment vertical="center" wrapText="1"/>
    </xf>
    <xf numFmtId="0" fontId="32" fillId="9" borderId="27" xfId="1" applyFont="1" applyFill="1" applyBorder="1" applyAlignment="1">
      <alignment vertical="center" wrapText="1"/>
    </xf>
    <xf numFmtId="0" fontId="32" fillId="9" borderId="0" xfId="1" applyFont="1" applyFill="1" applyAlignment="1">
      <alignment vertical="center" wrapText="1"/>
    </xf>
    <xf numFmtId="0" fontId="32" fillId="0" borderId="2" xfId="4" applyFont="1" applyFill="1" applyBorder="1" applyAlignment="1">
      <alignment vertical="center" wrapText="1"/>
    </xf>
    <xf numFmtId="0" fontId="32" fillId="0" borderId="0" xfId="4" applyFont="1" applyFill="1" applyBorder="1" applyAlignment="1">
      <alignment vertical="center" wrapText="1"/>
    </xf>
    <xf numFmtId="0" fontId="32" fillId="9" borderId="0" xfId="4" applyFont="1" applyFill="1" applyBorder="1" applyAlignment="1">
      <alignment vertical="center" wrapText="1"/>
    </xf>
    <xf numFmtId="0" fontId="42" fillId="0" borderId="0" xfId="2" applyFont="1" applyAlignment="1">
      <alignment vertical="center" wrapText="1"/>
    </xf>
    <xf numFmtId="0" fontId="42" fillId="17" borderId="1" xfId="6" applyFont="1" applyFill="1" applyBorder="1" applyAlignment="1">
      <alignment vertical="center" wrapText="1"/>
    </xf>
    <xf numFmtId="0" fontId="32" fillId="18" borderId="1" xfId="6" applyFont="1" applyFill="1" applyBorder="1" applyAlignment="1">
      <alignment vertical="center" wrapText="1"/>
    </xf>
    <xf numFmtId="0" fontId="7" fillId="0" borderId="0" xfId="2" applyFont="1" applyAlignment="1"/>
    <xf numFmtId="0" fontId="7" fillId="11" borderId="1" xfId="2" applyFont="1" applyFill="1" applyBorder="1" applyAlignment="1"/>
    <xf numFmtId="0" fontId="7" fillId="11" borderId="0" xfId="2" applyFont="1" applyFill="1" applyAlignment="1"/>
    <xf numFmtId="0" fontId="7" fillId="11" borderId="28" xfId="2" applyFont="1" applyFill="1" applyBorder="1" applyAlignment="1"/>
    <xf numFmtId="0" fontId="32" fillId="17" borderId="1" xfId="6" applyFont="1" applyFill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32" fillId="0" borderId="0" xfId="6" applyFont="1" applyFill="1" applyBorder="1" applyAlignment="1">
      <alignment vertical="center" wrapText="1"/>
    </xf>
    <xf numFmtId="0" fontId="32" fillId="0" borderId="0" xfId="3" applyFont="1" applyAlignment="1">
      <alignment vertical="center" wrapText="1"/>
    </xf>
    <xf numFmtId="0" fontId="32" fillId="9" borderId="1" xfId="3" applyFont="1" applyFill="1" applyBorder="1" applyAlignment="1">
      <alignment vertical="center" wrapText="1"/>
    </xf>
    <xf numFmtId="0" fontId="32" fillId="9" borderId="0" xfId="3" applyFont="1" applyFill="1" applyAlignment="1">
      <alignment vertical="center" wrapText="1"/>
    </xf>
    <xf numFmtId="0" fontId="42" fillId="9" borderId="2" xfId="3" applyFont="1" applyFill="1" applyBorder="1" applyAlignment="1">
      <alignment vertical="center" wrapText="1"/>
    </xf>
    <xf numFmtId="0" fontId="42" fillId="19" borderId="0" xfId="3" applyFont="1" applyFill="1" applyAlignment="1">
      <alignment vertical="center" wrapText="1"/>
    </xf>
    <xf numFmtId="2" fontId="32" fillId="18" borderId="1" xfId="4" applyNumberFormat="1" applyFont="1" applyFill="1" applyBorder="1" applyAlignment="1">
      <alignment vertical="center" wrapText="1"/>
    </xf>
    <xf numFmtId="2" fontId="32" fillId="18" borderId="0" xfId="4" applyNumberFormat="1" applyFont="1" applyFill="1" applyBorder="1" applyAlignment="1">
      <alignment horizontal="right" vertical="center" wrapText="1"/>
    </xf>
    <xf numFmtId="2" fontId="32" fillId="18" borderId="0" xfId="4" applyNumberFormat="1" applyFont="1" applyFill="1" applyBorder="1" applyAlignment="1">
      <alignment vertical="center" wrapText="1"/>
    </xf>
    <xf numFmtId="2" fontId="32" fillId="9" borderId="1" xfId="1" applyNumberFormat="1" applyFont="1" applyFill="1" applyBorder="1" applyAlignment="1">
      <alignment vertical="center" wrapText="1"/>
    </xf>
    <xf numFmtId="2" fontId="32" fillId="9" borderId="0" xfId="1" applyNumberFormat="1" applyFont="1" applyFill="1" applyAlignment="1">
      <alignment vertical="center" wrapText="1"/>
    </xf>
    <xf numFmtId="2" fontId="32" fillId="0" borderId="2" xfId="4" applyNumberFormat="1" applyFont="1" applyFill="1" applyBorder="1" applyAlignment="1">
      <alignment vertical="center" wrapText="1"/>
    </xf>
    <xf numFmtId="2" fontId="32" fillId="0" borderId="0" xfId="5" applyNumberFormat="1" applyFont="1" applyAlignment="1">
      <alignment vertical="center" wrapText="1"/>
    </xf>
    <xf numFmtId="0" fontId="32" fillId="0" borderId="0" xfId="5" applyFont="1" applyAlignment="1">
      <alignment vertical="center" wrapText="1"/>
    </xf>
    <xf numFmtId="0" fontId="32" fillId="9" borderId="1" xfId="5" applyFont="1" applyFill="1" applyBorder="1" applyAlignment="1">
      <alignment vertical="center" wrapText="1"/>
    </xf>
    <xf numFmtId="0" fontId="32" fillId="9" borderId="0" xfId="5" applyFont="1" applyFill="1" applyAlignment="1">
      <alignment vertical="center" wrapText="1"/>
    </xf>
    <xf numFmtId="0" fontId="42" fillId="9" borderId="0" xfId="5" applyFont="1" applyFill="1" applyAlignment="1">
      <alignment vertical="center" wrapText="1"/>
    </xf>
    <xf numFmtId="0" fontId="42" fillId="9" borderId="2" xfId="5" applyFont="1" applyFill="1" applyBorder="1" applyAlignment="1">
      <alignment vertical="center" wrapText="1"/>
    </xf>
    <xf numFmtId="0" fontId="42" fillId="19" borderId="0" xfId="5" applyFont="1" applyFill="1" applyAlignment="1">
      <alignment vertical="center" wrapText="1"/>
    </xf>
    <xf numFmtId="2" fontId="32" fillId="0" borderId="1" xfId="4" applyNumberFormat="1" applyFont="1" applyFill="1" applyBorder="1" applyAlignment="1">
      <alignment vertical="center" wrapText="1"/>
    </xf>
    <xf numFmtId="165" fontId="32" fillId="9" borderId="1" xfId="1" applyNumberFormat="1" applyFont="1" applyFill="1" applyBorder="1" applyAlignment="1">
      <alignment vertical="center" wrapText="1"/>
    </xf>
    <xf numFmtId="2" fontId="32" fillId="9" borderId="29" xfId="1" applyNumberFormat="1" applyFont="1" applyFill="1" applyBorder="1" applyAlignment="1">
      <alignment vertical="center" wrapText="1"/>
    </xf>
    <xf numFmtId="166" fontId="7" fillId="0" borderId="1" xfId="2" applyNumberFormat="1" applyFont="1" applyBorder="1" applyAlignment="1">
      <alignment vertical="center" wrapText="1"/>
    </xf>
    <xf numFmtId="0" fontId="7" fillId="0" borderId="30" xfId="2" applyFont="1" applyBorder="1">
      <alignment vertical="center"/>
    </xf>
    <xf numFmtId="165" fontId="32" fillId="0" borderId="0" xfId="5" applyNumberFormat="1" applyFont="1" applyAlignment="1">
      <alignment vertical="center" wrapText="1"/>
    </xf>
    <xf numFmtId="0" fontId="32" fillId="9" borderId="21" xfId="5" applyFont="1" applyFill="1" applyBorder="1" applyAlignment="1">
      <alignment vertical="center" wrapText="1"/>
    </xf>
    <xf numFmtId="0" fontId="32" fillId="9" borderId="20" xfId="5" applyFont="1" applyFill="1" applyBorder="1" applyAlignment="1">
      <alignment vertical="center" wrapText="1"/>
    </xf>
    <xf numFmtId="0" fontId="42" fillId="9" borderId="20" xfId="5" applyFont="1" applyFill="1" applyBorder="1" applyAlignment="1">
      <alignment vertical="center" wrapText="1"/>
    </xf>
    <xf numFmtId="0" fontId="42" fillId="9" borderId="11" xfId="5" applyFont="1" applyFill="1" applyBorder="1" applyAlignment="1">
      <alignment vertical="center" wrapText="1"/>
    </xf>
    <xf numFmtId="0" fontId="42" fillId="20" borderId="31" xfId="6" applyFont="1" applyFill="1" applyBorder="1" applyAlignment="1">
      <alignment vertical="center" wrapText="1"/>
    </xf>
    <xf numFmtId="0" fontId="42" fillId="9" borderId="32" xfId="6" applyFont="1" applyFill="1" applyBorder="1" applyAlignment="1">
      <alignment vertical="center" wrapText="1"/>
    </xf>
    <xf numFmtId="0" fontId="42" fillId="9" borderId="33" xfId="2" applyFont="1" applyFill="1" applyBorder="1" applyAlignment="1">
      <alignment vertical="center" wrapText="1"/>
    </xf>
    <xf numFmtId="0" fontId="42" fillId="0" borderId="32" xfId="4" applyNumberFormat="1" applyFont="1" applyFill="1" applyBorder="1" applyAlignment="1">
      <alignment vertical="center" wrapText="1"/>
    </xf>
    <xf numFmtId="0" fontId="32" fillId="0" borderId="33" xfId="2" applyFont="1" applyBorder="1" applyAlignment="1">
      <alignment vertical="center" wrapText="1"/>
    </xf>
    <xf numFmtId="0" fontId="32" fillId="9" borderId="32" xfId="1" applyFont="1" applyFill="1" applyBorder="1" applyAlignment="1">
      <alignment vertical="center" wrapText="1"/>
    </xf>
    <xf numFmtId="0" fontId="32" fillId="9" borderId="33" xfId="2" applyFont="1" applyFill="1" applyBorder="1" applyAlignment="1">
      <alignment vertical="center" wrapText="1"/>
    </xf>
    <xf numFmtId="0" fontId="32" fillId="9" borderId="32" xfId="2" applyFont="1" applyFill="1" applyBorder="1" applyAlignment="1">
      <alignment vertical="center" wrapText="1"/>
    </xf>
    <xf numFmtId="0" fontId="32" fillId="9" borderId="34" xfId="2" applyFont="1" applyFill="1" applyBorder="1" applyAlignment="1">
      <alignment vertical="center" wrapText="1"/>
    </xf>
    <xf numFmtId="0" fontId="7" fillId="0" borderId="34" xfId="2" applyFont="1" applyBorder="1" applyAlignment="1">
      <alignment vertical="center" wrapText="1"/>
    </xf>
    <xf numFmtId="0" fontId="32" fillId="0" borderId="35" xfId="2" applyFont="1" applyBorder="1" applyAlignment="1">
      <alignment vertical="center" wrapText="1"/>
    </xf>
    <xf numFmtId="0" fontId="42" fillId="9" borderId="1" xfId="2" applyFont="1" applyFill="1" applyBorder="1" applyAlignment="1">
      <alignment vertical="center" wrapText="1"/>
    </xf>
    <xf numFmtId="0" fontId="42" fillId="9" borderId="0" xfId="2" applyFont="1" applyFill="1" applyAlignment="1">
      <alignment vertical="center" wrapText="1"/>
    </xf>
    <xf numFmtId="0" fontId="42" fillId="11" borderId="0" xfId="2" applyFont="1" applyFill="1" applyAlignment="1">
      <alignment vertical="center" wrapText="1"/>
    </xf>
    <xf numFmtId="0" fontId="42" fillId="11" borderId="0" xfId="2" applyFont="1" applyFill="1">
      <alignment vertical="center"/>
    </xf>
    <xf numFmtId="0" fontId="32" fillId="11" borderId="0" xfId="2" applyFont="1" applyFill="1" applyAlignment="1">
      <alignment vertical="center" wrapText="1"/>
    </xf>
    <xf numFmtId="0" fontId="42" fillId="21" borderId="0" xfId="6" applyFont="1" applyFill="1" applyBorder="1" applyAlignment="1">
      <alignment vertical="center" wrapText="1"/>
    </xf>
    <xf numFmtId="0" fontId="7" fillId="11" borderId="0" xfId="2" applyFont="1" applyFill="1">
      <alignment vertical="center"/>
    </xf>
    <xf numFmtId="2" fontId="42" fillId="11" borderId="0" xfId="2" applyNumberFormat="1" applyFont="1" applyFill="1" applyAlignment="1">
      <alignment vertical="center" wrapText="1"/>
    </xf>
    <xf numFmtId="0" fontId="47" fillId="22" borderId="0" xfId="2" applyFont="1" applyFill="1" applyAlignment="1">
      <alignment vertical="center" wrapText="1"/>
    </xf>
    <xf numFmtId="0" fontId="42" fillId="18" borderId="0" xfId="7" applyFont="1" applyFill="1" applyBorder="1" applyAlignment="1">
      <alignment vertical="center"/>
    </xf>
    <xf numFmtId="0" fontId="42" fillId="18" borderId="0" xfId="7" applyFont="1" applyFill="1" applyBorder="1" applyAlignment="1">
      <alignment vertical="center" wrapText="1"/>
    </xf>
    <xf numFmtId="0" fontId="42" fillId="9" borderId="0" xfId="7" applyFont="1" applyFill="1" applyBorder="1" applyAlignment="1">
      <alignment vertical="center" wrapText="1"/>
    </xf>
    <xf numFmtId="0" fontId="42" fillId="0" borderId="0" xfId="2" applyFont="1">
      <alignment vertical="center"/>
    </xf>
    <xf numFmtId="0" fontId="42" fillId="9" borderId="0" xfId="7" applyFont="1" applyFill="1" applyBorder="1" applyAlignment="1">
      <alignment vertical="center"/>
    </xf>
    <xf numFmtId="0" fontId="42" fillId="9" borderId="0" xfId="2" applyFont="1" applyFill="1">
      <alignment vertical="center"/>
    </xf>
    <xf numFmtId="0" fontId="50" fillId="9" borderId="0" xfId="2" applyFont="1" applyFill="1">
      <alignment vertical="center"/>
    </xf>
    <xf numFmtId="0" fontId="42" fillId="22" borderId="0" xfId="2" applyFont="1" applyFill="1">
      <alignment vertical="center"/>
    </xf>
    <xf numFmtId="0" fontId="42" fillId="22" borderId="0" xfId="2" applyFont="1" applyFill="1" applyAlignment="1">
      <alignment vertical="center" wrapText="1"/>
    </xf>
    <xf numFmtId="0" fontId="51" fillId="9" borderId="0" xfId="2" applyFont="1" applyFill="1">
      <alignment vertical="center"/>
    </xf>
    <xf numFmtId="0" fontId="49" fillId="9" borderId="0" xfId="2" applyFont="1" applyFill="1">
      <alignment vertical="center"/>
    </xf>
    <xf numFmtId="0" fontId="49" fillId="0" borderId="0" xfId="2" applyFont="1" applyAlignment="1"/>
    <xf numFmtId="0" fontId="52" fillId="0" borderId="0" xfId="0" applyFont="1">
      <alignment vertical="center"/>
    </xf>
    <xf numFmtId="0" fontId="42" fillId="0" borderId="0" xfId="2" applyFont="1" applyAlignment="1"/>
    <xf numFmtId="0" fontId="28" fillId="23" borderId="36" xfId="2" applyFont="1" applyFill="1" applyBorder="1" applyAlignment="1"/>
    <xf numFmtId="0" fontId="7" fillId="23" borderId="36" xfId="2" applyFont="1" applyFill="1" applyBorder="1" applyAlignment="1"/>
    <xf numFmtId="0" fontId="7" fillId="24" borderId="36" xfId="2" applyFont="1" applyFill="1" applyBorder="1">
      <alignment vertical="center"/>
    </xf>
    <xf numFmtId="0" fontId="7" fillId="25" borderId="36" xfId="2" applyFont="1" applyFill="1" applyBorder="1" applyAlignment="1"/>
    <xf numFmtId="0" fontId="7" fillId="25" borderId="0" xfId="2" applyFont="1" applyFill="1" applyAlignment="1"/>
    <xf numFmtId="0" fontId="32" fillId="23" borderId="36" xfId="2" applyFont="1" applyFill="1" applyBorder="1" applyAlignment="1"/>
    <xf numFmtId="0" fontId="7" fillId="13" borderId="0" xfId="2" applyFont="1" applyFill="1" applyAlignment="1">
      <alignment vertical="center" wrapText="1"/>
    </xf>
    <xf numFmtId="0" fontId="7" fillId="13" borderId="0" xfId="2" applyFont="1" applyFill="1">
      <alignment vertical="center"/>
    </xf>
    <xf numFmtId="14" fontId="7" fillId="0" borderId="0" xfId="2" applyNumberFormat="1" applyFont="1">
      <alignment vertical="center"/>
    </xf>
    <xf numFmtId="167" fontId="7" fillId="0" borderId="0" xfId="2" applyNumberFormat="1" applyFont="1">
      <alignment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39" xfId="0" applyFont="1" applyBorder="1" applyAlignment="1">
      <alignment vertical="center" wrapText="1"/>
    </xf>
    <xf numFmtId="0" fontId="20" fillId="0" borderId="0" xfId="0" applyFont="1">
      <alignment vertical="center"/>
    </xf>
    <xf numFmtId="0" fontId="53" fillId="0" borderId="0" xfId="0" applyFont="1">
      <alignment vertical="center"/>
    </xf>
    <xf numFmtId="0" fontId="24" fillId="11" borderId="0" xfId="1" applyFont="1" applyFill="1" applyAlignment="1">
      <alignment horizontal="left" vertical="center" wrapText="1"/>
    </xf>
    <xf numFmtId="0" fontId="24" fillId="11" borderId="1" xfId="1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1" xfId="1" applyFont="1" applyBorder="1" applyAlignment="1">
      <alignment horizontal="left" vertical="center" wrapText="1"/>
    </xf>
    <xf numFmtId="0" fontId="56" fillId="11" borderId="0" xfId="1" applyFont="1" applyFill="1" applyAlignment="1">
      <alignment horizontal="left" vertical="center" wrapText="1"/>
    </xf>
    <xf numFmtId="0" fontId="56" fillId="14" borderId="0" xfId="1" applyFont="1" applyFill="1" applyAlignment="1">
      <alignment horizontal="left" vertical="center" wrapText="1"/>
    </xf>
    <xf numFmtId="0" fontId="25" fillId="11" borderId="0" xfId="1" applyFont="1" applyFill="1" applyAlignment="1">
      <alignment horizontal="left" vertical="center" wrapText="1"/>
    </xf>
    <xf numFmtId="0" fontId="33" fillId="11" borderId="0" xfId="1" applyFont="1" applyFill="1" applyAlignment="1">
      <alignment horizontal="left" vertical="center" wrapText="1"/>
    </xf>
    <xf numFmtId="0" fontId="10" fillId="11" borderId="0" xfId="2" applyFont="1" applyFill="1" applyAlignment="1">
      <alignment vertical="center" wrapText="1"/>
    </xf>
    <xf numFmtId="0" fontId="10" fillId="11" borderId="0" xfId="0" applyFont="1" applyFill="1">
      <alignment vertical="center"/>
    </xf>
    <xf numFmtId="0" fontId="32" fillId="11" borderId="0" xfId="2" applyFont="1" applyFill="1">
      <alignment vertical="center"/>
    </xf>
    <xf numFmtId="0" fontId="53" fillId="0" borderId="0" xfId="0" applyFont="1" applyAlignment="1">
      <alignment vertical="center" wrapText="1"/>
    </xf>
    <xf numFmtId="0" fontId="58" fillId="0" borderId="0" xfId="0" applyFont="1">
      <alignment vertical="center"/>
    </xf>
    <xf numFmtId="0" fontId="24" fillId="11" borderId="16" xfId="1" applyFont="1" applyFill="1" applyBorder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 applyAlignment="1">
      <alignment vertical="center" wrapText="1"/>
    </xf>
    <xf numFmtId="0" fontId="25" fillId="0" borderId="0" xfId="1" applyFont="1" applyAlignment="1">
      <alignment horizontal="left" vertical="center" wrapText="1"/>
    </xf>
    <xf numFmtId="0" fontId="29" fillId="0" borderId="0" xfId="2" applyFont="1">
      <alignment vertical="center"/>
    </xf>
    <xf numFmtId="0" fontId="10" fillId="8" borderId="15" xfId="1" applyFont="1" applyFill="1" applyBorder="1" applyAlignment="1">
      <alignment horizontal="center" vertical="center" wrapText="1"/>
    </xf>
    <xf numFmtId="0" fontId="22" fillId="9" borderId="4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right" vertical="center" wrapText="1"/>
    </xf>
    <xf numFmtId="0" fontId="11" fillId="11" borderId="3" xfId="2" applyFont="1" applyFill="1" applyBorder="1" applyAlignment="1">
      <alignment horizontal="right" vertical="center"/>
    </xf>
    <xf numFmtId="0" fontId="22" fillId="9" borderId="40" xfId="1" applyFont="1" applyFill="1" applyBorder="1" applyAlignment="1">
      <alignment horizontal="right" vertical="center" wrapText="1"/>
    </xf>
    <xf numFmtId="0" fontId="22" fillId="0" borderId="4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right" vertical="center" wrapText="1"/>
    </xf>
    <xf numFmtId="0" fontId="22" fillId="0" borderId="3" xfId="2" applyFont="1" applyBorder="1">
      <alignment vertical="center"/>
    </xf>
    <xf numFmtId="0" fontId="22" fillId="0" borderId="3" xfId="1" applyFont="1" applyBorder="1" applyAlignment="1">
      <alignment vertical="center" wrapText="1"/>
    </xf>
    <xf numFmtId="0" fontId="35" fillId="0" borderId="14" xfId="0" applyFont="1" applyBorder="1" applyAlignment="1">
      <alignment vertical="center" wrapText="1"/>
    </xf>
    <xf numFmtId="0" fontId="59" fillId="0" borderId="14" xfId="0" applyFont="1" applyBorder="1">
      <alignment vertical="center"/>
    </xf>
    <xf numFmtId="0" fontId="56" fillId="11" borderId="1" xfId="1" applyFont="1" applyFill="1" applyBorder="1" applyAlignment="1">
      <alignment horizontal="left" vertical="center" wrapText="1"/>
    </xf>
    <xf numFmtId="0" fontId="54" fillId="0" borderId="0" xfId="0" applyFont="1" applyAlignment="1">
      <alignment vertical="center" wrapText="1"/>
    </xf>
    <xf numFmtId="0" fontId="7" fillId="0" borderId="2" xfId="2" applyFont="1" applyBorder="1">
      <alignment vertical="center"/>
    </xf>
    <xf numFmtId="2" fontId="12" fillId="0" borderId="4" xfId="1" applyNumberFormat="1" applyFont="1" applyBorder="1" applyAlignment="1">
      <alignment horizontal="left" vertical="center" wrapText="1"/>
    </xf>
    <xf numFmtId="2" fontId="12" fillId="0" borderId="3" xfId="1" applyNumberFormat="1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horizontal="left" vertical="center" wrapText="1"/>
    </xf>
    <xf numFmtId="0" fontId="35" fillId="11" borderId="0" xfId="1" applyFont="1" applyFill="1" applyAlignment="1">
      <alignment horizontal="right" vertical="center" wrapText="1"/>
    </xf>
    <xf numFmtId="0" fontId="22" fillId="0" borderId="2" xfId="2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vertical="center" wrapText="1"/>
    </xf>
    <xf numFmtId="0" fontId="11" fillId="0" borderId="0" xfId="2" applyFont="1" applyAlignment="1">
      <alignment horizontal="left" vertical="center" wrapText="1"/>
    </xf>
    <xf numFmtId="0" fontId="11" fillId="0" borderId="1" xfId="2" applyFont="1" applyBorder="1" applyAlignment="1">
      <alignment horizontal="right" vertical="center"/>
    </xf>
    <xf numFmtId="49" fontId="22" fillId="11" borderId="2" xfId="1" applyNumberFormat="1" applyFont="1" applyFill="1" applyBorder="1" applyAlignment="1">
      <alignment vertical="center" wrapText="1"/>
    </xf>
    <xf numFmtId="0" fontId="61" fillId="11" borderId="0" xfId="1" applyFont="1" applyFill="1" applyAlignment="1">
      <alignment horizontal="left" vertical="center" wrapText="1"/>
    </xf>
    <xf numFmtId="49" fontId="15" fillId="0" borderId="0" xfId="1" applyNumberFormat="1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165" fontId="17" fillId="11" borderId="0" xfId="2" applyNumberFormat="1" applyFont="1" applyFill="1" applyAlignment="1">
      <alignment horizontal="right" vertical="center"/>
    </xf>
    <xf numFmtId="0" fontId="10" fillId="8" borderId="27" xfId="1" applyFont="1" applyFill="1" applyBorder="1" applyAlignment="1">
      <alignment horizontal="center" vertical="center" wrapText="1"/>
    </xf>
    <xf numFmtId="0" fontId="11" fillId="11" borderId="0" xfId="2" applyFont="1" applyFill="1" applyAlignment="1">
      <alignment horizontal="center" vertical="center" wrapText="1"/>
    </xf>
    <xf numFmtId="0" fontId="11" fillId="11" borderId="2" xfId="2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23" fillId="8" borderId="20" xfId="1" applyFont="1" applyFill="1" applyBorder="1" applyAlignment="1">
      <alignment horizontal="right" vertical="center" wrapText="1"/>
    </xf>
    <xf numFmtId="0" fontId="63" fillId="0" borderId="1" xfId="0" applyFont="1" applyBorder="1">
      <alignment vertical="center"/>
    </xf>
    <xf numFmtId="0" fontId="3" fillId="6" borderId="40" xfId="1" applyFont="1" applyFill="1" applyBorder="1" applyAlignment="1">
      <alignment horizontal="center" vertical="center" wrapText="1"/>
    </xf>
    <xf numFmtId="0" fontId="68" fillId="0" borderId="1" xfId="2" applyFont="1" applyBorder="1">
      <alignment vertical="center"/>
    </xf>
    <xf numFmtId="0" fontId="68" fillId="0" borderId="0" xfId="2" applyFont="1" applyAlignment="1">
      <alignment horizontal="right" vertical="center" wrapText="1"/>
    </xf>
    <xf numFmtId="0" fontId="68" fillId="0" borderId="0" xfId="2" applyFont="1">
      <alignment vertical="center"/>
    </xf>
    <xf numFmtId="0" fontId="68" fillId="0" borderId="0" xfId="2" applyFont="1" applyAlignment="1">
      <alignment horizontal="right" vertical="center"/>
    </xf>
    <xf numFmtId="0" fontId="68" fillId="0" borderId="8" xfId="2" applyFont="1" applyBorder="1">
      <alignment vertical="center"/>
    </xf>
    <xf numFmtId="0" fontId="69" fillId="0" borderId="2" xfId="1" applyFont="1" applyBorder="1" applyAlignment="1">
      <alignment horizontal="right" vertical="center" wrapText="1"/>
    </xf>
    <xf numFmtId="0" fontId="69" fillId="9" borderId="0" xfId="1" applyFont="1" applyFill="1" applyAlignment="1">
      <alignment horizontal="right" vertical="center" wrapText="1"/>
    </xf>
    <xf numFmtId="0" fontId="68" fillId="0" borderId="1" xfId="2" applyFont="1" applyBorder="1" applyAlignment="1">
      <alignment horizontal="left" vertical="center" wrapText="1"/>
    </xf>
    <xf numFmtId="0" fontId="68" fillId="0" borderId="1" xfId="2" applyFont="1" applyBorder="1" applyAlignment="1">
      <alignment horizontal="right" vertical="center" wrapText="1"/>
    </xf>
    <xf numFmtId="165" fontId="68" fillId="0" borderId="1" xfId="2" applyNumberFormat="1" applyFont="1" applyBorder="1" applyAlignment="1">
      <alignment horizontal="left" vertical="center"/>
    </xf>
    <xf numFmtId="0" fontId="68" fillId="0" borderId="1" xfId="2" applyFont="1" applyBorder="1" applyAlignment="1">
      <alignment vertical="center" wrapText="1"/>
    </xf>
    <xf numFmtId="0" fontId="69" fillId="0" borderId="0" xfId="1" applyFont="1" applyAlignment="1">
      <alignment horizontal="left" vertical="center" wrapText="1"/>
    </xf>
    <xf numFmtId="0" fontId="69" fillId="0" borderId="0" xfId="1" applyFont="1" applyAlignment="1">
      <alignment horizontal="right" vertical="center" wrapText="1"/>
    </xf>
    <xf numFmtId="0" fontId="69" fillId="0" borderId="1" xfId="1" applyFont="1" applyBorder="1" applyAlignment="1">
      <alignment horizontal="right" vertical="center" wrapText="1"/>
    </xf>
    <xf numFmtId="0" fontId="69" fillId="0" borderId="2" xfId="1" applyFont="1" applyBorder="1" applyAlignment="1">
      <alignment horizontal="left" vertical="center" wrapText="1"/>
    </xf>
    <xf numFmtId="0" fontId="69" fillId="9" borderId="1" xfId="1" applyFont="1" applyFill="1" applyBorder="1" applyAlignment="1">
      <alignment horizontal="left" vertical="center" wrapText="1"/>
    </xf>
    <xf numFmtId="0" fontId="69" fillId="12" borderId="0" xfId="1" applyFont="1" applyFill="1" applyAlignment="1">
      <alignment horizontal="right" vertical="center" wrapText="1"/>
    </xf>
    <xf numFmtId="0" fontId="69" fillId="9" borderId="1" xfId="1" applyFont="1" applyFill="1" applyBorder="1" applyAlignment="1">
      <alignment horizontal="right" vertical="center" wrapText="1"/>
    </xf>
    <xf numFmtId="0" fontId="69" fillId="9" borderId="1" xfId="3" applyFont="1" applyFill="1" applyBorder="1" applyAlignment="1">
      <alignment horizontal="right" vertical="center" wrapText="1"/>
    </xf>
    <xf numFmtId="0" fontId="69" fillId="11" borderId="1" xfId="1" applyFont="1" applyFill="1" applyBorder="1" applyAlignment="1">
      <alignment horizontal="right" vertical="center" wrapText="1"/>
    </xf>
    <xf numFmtId="0" fontId="69" fillId="13" borderId="2" xfId="1" applyFont="1" applyFill="1" applyBorder="1" applyAlignment="1">
      <alignment horizontal="right" vertical="center" wrapText="1"/>
    </xf>
    <xf numFmtId="0" fontId="70" fillId="11" borderId="1" xfId="1" applyFont="1" applyFill="1" applyBorder="1" applyAlignment="1">
      <alignment horizontal="center" vertical="center" wrapText="1"/>
    </xf>
    <xf numFmtId="0" fontId="70" fillId="11" borderId="0" xfId="1" applyFont="1" applyFill="1" applyAlignment="1">
      <alignment horizontal="right" vertical="center" wrapText="1"/>
    </xf>
    <xf numFmtId="0" fontId="69" fillId="11" borderId="0" xfId="1" applyFont="1" applyFill="1" applyAlignment="1">
      <alignment horizontal="right" vertical="center" wrapText="1"/>
    </xf>
    <xf numFmtId="0" fontId="68" fillId="11" borderId="1" xfId="2" applyFont="1" applyFill="1" applyBorder="1">
      <alignment vertical="center"/>
    </xf>
    <xf numFmtId="0" fontId="69" fillId="9" borderId="0" xfId="1" applyFont="1" applyFill="1" applyAlignment="1">
      <alignment horizontal="left" vertical="center" wrapText="1"/>
    </xf>
    <xf numFmtId="0" fontId="69" fillId="11" borderId="1" xfId="3" applyFont="1" applyFill="1" applyBorder="1" applyAlignment="1">
      <alignment horizontal="right" vertical="center" wrapText="1"/>
    </xf>
    <xf numFmtId="0" fontId="70" fillId="11" borderId="0" xfId="1" applyFont="1" applyFill="1" applyAlignment="1">
      <alignment horizontal="center" vertical="center"/>
    </xf>
    <xf numFmtId="0" fontId="70" fillId="11" borderId="1" xfId="1" applyFont="1" applyFill="1" applyBorder="1" applyAlignment="1">
      <alignment horizontal="center" vertical="center"/>
    </xf>
    <xf numFmtId="0" fontId="70" fillId="9" borderId="4" xfId="1" applyFont="1" applyFill="1" applyBorder="1" applyAlignment="1">
      <alignment horizontal="center" vertical="center" wrapText="1"/>
    </xf>
    <xf numFmtId="0" fontId="70" fillId="9" borderId="40" xfId="1" applyFont="1" applyFill="1" applyBorder="1" applyAlignment="1">
      <alignment horizontal="right" vertical="center" wrapText="1"/>
    </xf>
    <xf numFmtId="0" fontId="68" fillId="11" borderId="4" xfId="2" applyFont="1" applyFill="1" applyBorder="1" applyAlignment="1">
      <alignment vertical="center" wrapText="1"/>
    </xf>
    <xf numFmtId="0" fontId="68" fillId="11" borderId="0" xfId="2" applyFont="1" applyFill="1" applyAlignment="1">
      <alignment horizontal="right" vertical="center"/>
    </xf>
    <xf numFmtId="0" fontId="70" fillId="9" borderId="4" xfId="1" applyFont="1" applyFill="1" applyBorder="1" applyAlignment="1">
      <alignment horizontal="left" vertical="center" wrapText="1"/>
    </xf>
    <xf numFmtId="0" fontId="70" fillId="0" borderId="4" xfId="1" applyFont="1" applyBorder="1" applyAlignment="1">
      <alignment horizontal="left" vertical="center" wrapText="1"/>
    </xf>
    <xf numFmtId="0" fontId="70" fillId="0" borderId="40" xfId="1" applyFont="1" applyBorder="1" applyAlignment="1">
      <alignment vertical="center" wrapText="1"/>
    </xf>
    <xf numFmtId="0" fontId="70" fillId="0" borderId="40" xfId="2" applyFont="1" applyBorder="1">
      <alignment vertical="center"/>
    </xf>
    <xf numFmtId="0" fontId="70" fillId="9" borderId="3" xfId="1" applyFont="1" applyFill="1" applyBorder="1" applyAlignment="1">
      <alignment horizontal="right" vertical="center" wrapText="1"/>
    </xf>
    <xf numFmtId="0" fontId="68" fillId="0" borderId="0" xfId="2" applyFont="1" applyAlignment="1">
      <alignment vertical="center" wrapText="1"/>
    </xf>
    <xf numFmtId="0" fontId="71" fillId="11" borderId="1" xfId="1" applyFont="1" applyFill="1" applyBorder="1" applyAlignment="1">
      <alignment horizontal="left" vertical="center" wrapText="1"/>
    </xf>
    <xf numFmtId="0" fontId="69" fillId="11" borderId="1" xfId="1" applyFont="1" applyFill="1" applyBorder="1" applyAlignment="1">
      <alignment horizontal="left" vertical="center" wrapText="1"/>
    </xf>
    <xf numFmtId="0" fontId="72" fillId="11" borderId="1" xfId="1" applyFont="1" applyFill="1" applyBorder="1" applyAlignment="1">
      <alignment horizontal="left" vertical="center" wrapText="1"/>
    </xf>
    <xf numFmtId="0" fontId="68" fillId="11" borderId="0" xfId="2" applyFont="1" applyFill="1">
      <alignment vertical="center"/>
    </xf>
    <xf numFmtId="0" fontId="68" fillId="0" borderId="2" xfId="2" applyFont="1" applyBorder="1" applyAlignment="1">
      <alignment horizontal="right" vertical="center"/>
    </xf>
    <xf numFmtId="0" fontId="73" fillId="11" borderId="0" xfId="1" applyFont="1" applyFill="1" applyAlignment="1">
      <alignment horizontal="right" vertical="center" wrapText="1"/>
    </xf>
    <xf numFmtId="49" fontId="70" fillId="11" borderId="2" xfId="1" applyNumberFormat="1" applyFont="1" applyFill="1" applyBorder="1" applyAlignment="1">
      <alignment vertical="center" wrapText="1"/>
    </xf>
    <xf numFmtId="49" fontId="70" fillId="0" borderId="0" xfId="1" applyNumberFormat="1" applyFont="1" applyAlignment="1">
      <alignment horizontal="left" vertical="center" wrapText="1"/>
    </xf>
    <xf numFmtId="0" fontId="70" fillId="0" borderId="0" xfId="2" applyFont="1">
      <alignment vertical="center"/>
    </xf>
    <xf numFmtId="0" fontId="70" fillId="0" borderId="1" xfId="2" applyFont="1" applyBorder="1" applyAlignment="1">
      <alignment vertical="center" wrapText="1"/>
    </xf>
    <xf numFmtId="0" fontId="70" fillId="0" borderId="2" xfId="1" quotePrefix="1" applyFont="1" applyBorder="1" applyAlignment="1">
      <alignment horizontal="left" vertical="center" wrapText="1"/>
    </xf>
    <xf numFmtId="2" fontId="69" fillId="11" borderId="21" xfId="1" applyNumberFormat="1" applyFont="1" applyFill="1" applyBorder="1" applyAlignment="1">
      <alignment horizontal="left" vertical="center" wrapText="1"/>
    </xf>
    <xf numFmtId="2" fontId="69" fillId="0" borderId="20" xfId="1" applyNumberFormat="1" applyFont="1" applyBorder="1" applyAlignment="1">
      <alignment horizontal="left" vertical="center" wrapText="1"/>
    </xf>
    <xf numFmtId="2" fontId="69" fillId="0" borderId="11" xfId="1" applyNumberFormat="1" applyFont="1" applyBorder="1" applyAlignment="1">
      <alignment horizontal="left" vertical="center" wrapText="1"/>
    </xf>
    <xf numFmtId="2" fontId="69" fillId="0" borderId="21" xfId="1" applyNumberFormat="1" applyFont="1" applyBorder="1" applyAlignment="1">
      <alignment horizontal="left" vertical="center" wrapText="1"/>
    </xf>
    <xf numFmtId="166" fontId="68" fillId="0" borderId="21" xfId="2" applyNumberFormat="1" applyFont="1" applyBorder="1" applyAlignment="1">
      <alignment horizontal="left" vertical="center" wrapText="1"/>
    </xf>
    <xf numFmtId="0" fontId="75" fillId="0" borderId="1" xfId="2" applyFont="1" applyBorder="1" applyAlignment="1">
      <alignment vertical="center" wrapText="1"/>
    </xf>
    <xf numFmtId="0" fontId="75" fillId="0" borderId="0" xfId="2" applyFont="1" applyAlignment="1">
      <alignment vertical="center" wrapText="1"/>
    </xf>
    <xf numFmtId="2" fontId="76" fillId="0" borderId="0" xfId="1" applyNumberFormat="1" applyFont="1" applyAlignment="1">
      <alignment horizontal="left" vertical="center" wrapText="1"/>
    </xf>
    <xf numFmtId="2" fontId="76" fillId="11" borderId="1" xfId="1" applyNumberFormat="1" applyFont="1" applyFill="1" applyBorder="1" applyAlignment="1">
      <alignment horizontal="left" vertical="center" wrapText="1"/>
    </xf>
    <xf numFmtId="2" fontId="76" fillId="11" borderId="0" xfId="1" applyNumberFormat="1" applyFont="1" applyFill="1" applyAlignment="1">
      <alignment horizontal="left" vertical="center" wrapText="1"/>
    </xf>
    <xf numFmtId="0" fontId="75" fillId="11" borderId="1" xfId="2" applyFont="1" applyFill="1" applyBorder="1">
      <alignment vertical="center"/>
    </xf>
    <xf numFmtId="0" fontId="75" fillId="11" borderId="1" xfId="2" applyFont="1" applyFill="1" applyBorder="1" applyAlignment="1">
      <alignment vertical="center" wrapText="1"/>
    </xf>
    <xf numFmtId="0" fontId="75" fillId="0" borderId="1" xfId="2" applyFont="1" applyBorder="1" applyAlignment="1">
      <alignment horizontal="left" vertical="center" wrapText="1"/>
    </xf>
    <xf numFmtId="0" fontId="75" fillId="0" borderId="0" xfId="2" applyFont="1" applyAlignment="1">
      <alignment horizontal="left" vertical="center" wrapText="1"/>
    </xf>
    <xf numFmtId="0" fontId="69" fillId="0" borderId="9" xfId="1" applyFont="1" applyBorder="1" applyAlignment="1">
      <alignment horizontal="right" vertical="center" wrapText="1"/>
    </xf>
    <xf numFmtId="0" fontId="68" fillId="0" borderId="1" xfId="2" applyFont="1" applyBorder="1" applyAlignment="1">
      <alignment horizontal="right" vertical="center"/>
    </xf>
    <xf numFmtId="0" fontId="70" fillId="0" borderId="2" xfId="2" applyFont="1" applyBorder="1" applyAlignment="1">
      <alignment horizontal="left" vertical="center" wrapText="1"/>
    </xf>
    <xf numFmtId="0" fontId="71" fillId="0" borderId="1" xfId="1" applyFont="1" applyBorder="1" applyAlignment="1">
      <alignment horizontal="left" vertical="center" wrapText="1"/>
    </xf>
    <xf numFmtId="0" fontId="68" fillId="11" borderId="0" xfId="2" applyFont="1" applyFill="1" applyAlignment="1">
      <alignment horizontal="center" vertical="center" wrapText="1"/>
    </xf>
    <xf numFmtId="0" fontId="68" fillId="11" borderId="1" xfId="2" applyFont="1" applyFill="1" applyBorder="1" applyAlignment="1">
      <alignment horizontal="center" vertical="center" wrapText="1"/>
    </xf>
    <xf numFmtId="0" fontId="77" fillId="11" borderId="1" xfId="1" applyFont="1" applyFill="1" applyBorder="1" applyAlignment="1">
      <alignment horizontal="left" vertical="center" wrapText="1"/>
    </xf>
    <xf numFmtId="0" fontId="78" fillId="11" borderId="0" xfId="2" applyFont="1" applyFill="1">
      <alignment vertical="center"/>
    </xf>
    <xf numFmtId="0" fontId="78" fillId="0" borderId="0" xfId="2" applyFont="1" applyAlignment="1">
      <alignment horizontal="right" vertical="center"/>
    </xf>
    <xf numFmtId="0" fontId="79" fillId="11" borderId="1" xfId="1" applyFont="1" applyFill="1" applyBorder="1" applyAlignment="1">
      <alignment horizontal="left" vertical="center" wrapText="1"/>
    </xf>
    <xf numFmtId="0" fontId="17" fillId="0" borderId="0" xfId="0" applyFont="1">
      <alignment vertical="center"/>
    </xf>
    <xf numFmtId="0" fontId="10" fillId="0" borderId="0" xfId="1" applyFont="1" applyAlignment="1">
      <alignment horizontal="left" vertical="center" wrapText="1"/>
    </xf>
    <xf numFmtId="0" fontId="75" fillId="0" borderId="13" xfId="2" applyFont="1" applyBorder="1" applyAlignment="1">
      <alignment vertical="center" wrapText="1"/>
    </xf>
    <xf numFmtId="0" fontId="76" fillId="11" borderId="1" xfId="1" applyFont="1" applyFill="1" applyBorder="1" applyAlignment="1">
      <alignment horizontal="left" vertical="center" wrapText="1"/>
    </xf>
    <xf numFmtId="0" fontId="76" fillId="0" borderId="1" xfId="1" applyFont="1" applyBorder="1" applyAlignment="1">
      <alignment horizontal="left" vertical="center" wrapText="1"/>
    </xf>
    <xf numFmtId="0" fontId="75" fillId="0" borderId="1" xfId="2" applyFont="1" applyBorder="1">
      <alignment vertical="center"/>
    </xf>
    <xf numFmtId="0" fontId="75" fillId="0" borderId="2" xfId="2" applyFont="1" applyBorder="1" applyAlignment="1">
      <alignment vertical="center" wrapText="1"/>
    </xf>
    <xf numFmtId="0" fontId="75" fillId="11" borderId="0" xfId="2" applyFont="1" applyFill="1" applyAlignment="1">
      <alignment vertical="center" wrapText="1"/>
    </xf>
    <xf numFmtId="0" fontId="75" fillId="0" borderId="0" xfId="2" applyFont="1">
      <alignment vertical="center"/>
    </xf>
    <xf numFmtId="0" fontId="82" fillId="11" borderId="1" xfId="1" applyFont="1" applyFill="1" applyBorder="1" applyAlignment="1">
      <alignment horizontal="left" vertical="center" wrapText="1"/>
    </xf>
    <xf numFmtId="0" fontId="83" fillId="11" borderId="1" xfId="1" applyFont="1" applyFill="1" applyBorder="1" applyAlignment="1">
      <alignment horizontal="left" vertical="center" wrapText="1"/>
    </xf>
    <xf numFmtId="0" fontId="82" fillId="0" borderId="1" xfId="2" applyFont="1" applyBorder="1">
      <alignment vertical="center"/>
    </xf>
    <xf numFmtId="0" fontId="75" fillId="11" borderId="8" xfId="1" applyFont="1" applyFill="1" applyBorder="1" applyAlignment="1">
      <alignment horizontal="left" vertical="center" wrapText="1"/>
    </xf>
    <xf numFmtId="0" fontId="67" fillId="0" borderId="0" xfId="1" applyFont="1" applyAlignment="1">
      <alignment horizontal="left" vertical="center" wrapText="1"/>
    </xf>
    <xf numFmtId="0" fontId="87" fillId="0" borderId="0" xfId="0" applyFont="1" applyAlignment="1">
      <alignment vertical="center" wrapText="1"/>
    </xf>
    <xf numFmtId="0" fontId="88" fillId="0" borderId="14" xfId="0" applyFont="1" applyBorder="1" applyAlignment="1">
      <alignment vertical="center" wrapText="1"/>
    </xf>
    <xf numFmtId="0" fontId="88" fillId="0" borderId="27" xfId="0" applyFont="1" applyBorder="1" applyAlignment="1">
      <alignment vertical="center" wrapText="1"/>
    </xf>
    <xf numFmtId="0" fontId="75" fillId="0" borderId="8" xfId="2" applyFont="1" applyBorder="1">
      <alignment vertical="center"/>
    </xf>
    <xf numFmtId="0" fontId="89" fillId="0" borderId="0" xfId="0" applyFont="1">
      <alignment vertical="center"/>
    </xf>
    <xf numFmtId="0" fontId="36" fillId="0" borderId="22" xfId="4" applyFont="1" applyFill="1" applyBorder="1" applyAlignment="1">
      <alignment horizontal="left" vertical="center" wrapText="1"/>
    </xf>
    <xf numFmtId="0" fontId="87" fillId="0" borderId="14" xfId="0" applyFont="1" applyBorder="1">
      <alignment vertical="center"/>
    </xf>
    <xf numFmtId="0" fontId="75" fillId="0" borderId="14" xfId="2" applyFont="1" applyBorder="1">
      <alignment vertical="center"/>
    </xf>
    <xf numFmtId="0" fontId="81" fillId="0" borderId="8" xfId="1" applyFont="1" applyBorder="1" applyAlignment="1">
      <alignment horizontal="left" vertical="center" wrapText="1"/>
    </xf>
    <xf numFmtId="0" fontId="84" fillId="0" borderId="1" xfId="1" applyFont="1" applyBorder="1" applyAlignment="1">
      <alignment horizontal="left" vertical="center" wrapText="1"/>
    </xf>
    <xf numFmtId="0" fontId="82" fillId="0" borderId="1" xfId="1" applyFont="1" applyBorder="1" applyAlignment="1">
      <alignment horizontal="left" vertical="center" wrapText="1"/>
    </xf>
    <xf numFmtId="0" fontId="81" fillId="0" borderId="1" xfId="1" applyFont="1" applyBorder="1" applyAlignment="1">
      <alignment horizontal="left" vertical="center" wrapText="1"/>
    </xf>
    <xf numFmtId="0" fontId="86" fillId="0" borderId="1" xfId="1" applyFont="1" applyBorder="1" applyAlignment="1">
      <alignment horizontal="left" vertical="center" wrapText="1"/>
    </xf>
    <xf numFmtId="0" fontId="62" fillId="14" borderId="0" xfId="1" applyFont="1" applyFill="1" applyAlignment="1">
      <alignment horizontal="left" vertical="center" wrapText="1"/>
    </xf>
    <xf numFmtId="0" fontId="65" fillId="14" borderId="1" xfId="1" applyFont="1" applyFill="1" applyBorder="1" applyAlignment="1">
      <alignment horizontal="left" vertical="center" wrapText="1"/>
    </xf>
    <xf numFmtId="0" fontId="62" fillId="14" borderId="1" xfId="1" applyFont="1" applyFill="1" applyBorder="1" applyAlignment="1">
      <alignment horizontal="left" vertical="center" wrapText="1"/>
    </xf>
    <xf numFmtId="0" fontId="65" fillId="14" borderId="0" xfId="1" applyFont="1" applyFill="1" applyAlignment="1">
      <alignment horizontal="left" vertical="center" wrapText="1"/>
    </xf>
    <xf numFmtId="0" fontId="64" fillId="14" borderId="0" xfId="1" applyFont="1" applyFill="1" applyAlignment="1">
      <alignment horizontal="left" vertical="center" wrapText="1"/>
    </xf>
    <xf numFmtId="0" fontId="91" fillId="11" borderId="1" xfId="1" applyFont="1" applyFill="1" applyBorder="1" applyAlignment="1">
      <alignment horizontal="left" vertical="center" wrapText="1"/>
    </xf>
    <xf numFmtId="0" fontId="62" fillId="14" borderId="16" xfId="1" applyFont="1" applyFill="1" applyBorder="1" applyAlignment="1">
      <alignment horizontal="left" vertical="center" wrapText="1"/>
    </xf>
    <xf numFmtId="0" fontId="87" fillId="0" borderId="1" xfId="0" applyFont="1" applyBorder="1">
      <alignment vertical="center"/>
    </xf>
    <xf numFmtId="0" fontId="87" fillId="0" borderId="15" xfId="0" applyFont="1" applyBorder="1" applyAlignment="1">
      <alignment vertical="center" wrapText="1"/>
    </xf>
    <xf numFmtId="0" fontId="87" fillId="0" borderId="2" xfId="0" applyFont="1" applyBorder="1" applyAlignment="1">
      <alignment vertical="center" wrapText="1"/>
    </xf>
    <xf numFmtId="0" fontId="92" fillId="11" borderId="1" xfId="2" applyFont="1" applyFill="1" applyBorder="1">
      <alignment vertical="center"/>
    </xf>
    <xf numFmtId="0" fontId="68" fillId="0" borderId="9" xfId="2" applyFont="1" applyBorder="1" applyAlignment="1">
      <alignment horizontal="right" vertical="center"/>
    </xf>
    <xf numFmtId="0" fontId="69" fillId="0" borderId="0" xfId="2" applyFont="1">
      <alignment vertical="center"/>
    </xf>
    <xf numFmtId="0" fontId="62" fillId="0" borderId="0" xfId="1" applyFont="1" applyAlignment="1">
      <alignment horizontal="left" vertical="center" wrapText="1"/>
    </xf>
    <xf numFmtId="0" fontId="65" fillId="0" borderId="0" xfId="1" applyFont="1" applyAlignment="1">
      <alignment horizontal="left" vertical="center" wrapText="1"/>
    </xf>
    <xf numFmtId="0" fontId="64" fillId="0" borderId="0" xfId="1" applyFont="1" applyAlignment="1">
      <alignment horizontal="left" vertical="center" wrapText="1"/>
    </xf>
    <xf numFmtId="0" fontId="62" fillId="0" borderId="1" xfId="1" applyFont="1" applyBorder="1" applyAlignment="1">
      <alignment horizontal="left" vertical="center" wrapText="1"/>
    </xf>
    <xf numFmtId="0" fontId="91" fillId="14" borderId="1" xfId="1" applyFont="1" applyFill="1" applyBorder="1" applyAlignment="1">
      <alignment horizontal="left" vertical="center" wrapText="1"/>
    </xf>
    <xf numFmtId="0" fontId="75" fillId="14" borderId="0" xfId="2" applyFont="1" applyFill="1" applyAlignment="1">
      <alignment vertical="center" wrapText="1"/>
    </xf>
    <xf numFmtId="0" fontId="75" fillId="14" borderId="0" xfId="2" applyFont="1" applyFill="1">
      <alignment vertical="center"/>
    </xf>
    <xf numFmtId="0" fontId="53" fillId="14" borderId="0" xfId="0" applyFont="1" applyFill="1" applyAlignment="1">
      <alignment vertical="center" wrapText="1"/>
    </xf>
    <xf numFmtId="2" fontId="93" fillId="11" borderId="1" xfId="1" applyNumberFormat="1" applyFont="1" applyFill="1" applyBorder="1" applyAlignment="1">
      <alignment horizontal="left" vertical="center" wrapText="1"/>
    </xf>
    <xf numFmtId="0" fontId="94" fillId="0" borderId="1" xfId="2" applyFont="1" applyBorder="1" applyAlignment="1">
      <alignment vertical="center" wrapText="1"/>
    </xf>
    <xf numFmtId="0" fontId="82" fillId="14" borderId="1" xfId="1" applyFont="1" applyFill="1" applyBorder="1" applyAlignment="1">
      <alignment horizontal="left" vertical="center" wrapText="1"/>
    </xf>
    <xf numFmtId="0" fontId="75" fillId="0" borderId="9" xfId="2" applyFont="1" applyBorder="1" applyAlignment="1">
      <alignment vertical="center" wrapText="1"/>
    </xf>
    <xf numFmtId="0" fontId="70" fillId="0" borderId="0" xfId="2" applyFont="1" applyAlignment="1">
      <alignment horizontal="right" vertical="center"/>
    </xf>
    <xf numFmtId="0" fontId="65" fillId="11" borderId="0" xfId="1" applyFont="1" applyFill="1" applyAlignment="1">
      <alignment horizontal="left" vertical="center" wrapText="1"/>
    </xf>
    <xf numFmtId="0" fontId="62" fillId="11" borderId="0" xfId="1" applyFont="1" applyFill="1" applyAlignment="1">
      <alignment horizontal="left" vertical="center" wrapText="1"/>
    </xf>
    <xf numFmtId="0" fontId="67" fillId="11" borderId="0" xfId="1" applyFont="1" applyFill="1" applyAlignment="1">
      <alignment horizontal="left" vertical="center" wrapText="1"/>
    </xf>
    <xf numFmtId="0" fontId="68" fillId="11" borderId="0" xfId="2" applyFont="1" applyFill="1" applyAlignment="1">
      <alignment vertical="center" wrapText="1"/>
    </xf>
    <xf numFmtId="0" fontId="75" fillId="11" borderId="0" xfId="2" applyFont="1" applyFill="1">
      <alignment vertical="center"/>
    </xf>
    <xf numFmtId="0" fontId="62" fillId="0" borderId="16" xfId="1" applyFont="1" applyBorder="1" applyAlignment="1">
      <alignment horizontal="left" vertical="center" wrapText="1"/>
    </xf>
    <xf numFmtId="0" fontId="81" fillId="14" borderId="1" xfId="1" applyFont="1" applyFill="1" applyBorder="1" applyAlignment="1">
      <alignment horizontal="left" vertical="center" wrapText="1"/>
    </xf>
    <xf numFmtId="0" fontId="74" fillId="11" borderId="1" xfId="1" applyFont="1" applyFill="1" applyBorder="1" applyAlignment="1">
      <alignment horizontal="left" vertical="center" wrapText="1"/>
    </xf>
    <xf numFmtId="0" fontId="83" fillId="14" borderId="1" xfId="1" applyFont="1" applyFill="1" applyBorder="1" applyAlignment="1">
      <alignment horizontal="left" vertical="center" wrapText="1"/>
    </xf>
    <xf numFmtId="0" fontId="91" fillId="0" borderId="1" xfId="1" applyFont="1" applyBorder="1" applyAlignment="1">
      <alignment horizontal="left" vertical="center" wrapText="1"/>
    </xf>
    <xf numFmtId="0" fontId="62" fillId="14" borderId="22" xfId="1" applyFont="1" applyFill="1" applyBorder="1" applyAlignment="1">
      <alignment horizontal="left" vertical="center" wrapText="1"/>
    </xf>
    <xf numFmtId="0" fontId="17" fillId="0" borderId="0" xfId="2" applyFont="1" applyAlignment="1">
      <alignment horizontal="right" vertical="center"/>
    </xf>
    <xf numFmtId="0" fontId="68" fillId="0" borderId="2" xfId="2" applyFont="1" applyBorder="1" applyAlignment="1">
      <alignment horizontal="right" vertical="center" wrapText="1"/>
    </xf>
    <xf numFmtId="0" fontId="82" fillId="11" borderId="8" xfId="1" applyFont="1" applyFill="1" applyBorder="1" applyAlignment="1">
      <alignment horizontal="left" vertical="center" wrapText="1"/>
    </xf>
    <xf numFmtId="0" fontId="81" fillId="11" borderId="1" xfId="1" applyFont="1" applyFill="1" applyBorder="1" applyAlignment="1">
      <alignment horizontal="left" vertical="center" wrapText="1"/>
    </xf>
    <xf numFmtId="0" fontId="64" fillId="11" borderId="0" xfId="1" applyFont="1" applyFill="1" applyAlignment="1">
      <alignment horizontal="left" vertical="center" wrapText="1"/>
    </xf>
    <xf numFmtId="0" fontId="88" fillId="0" borderId="0" xfId="0" applyFont="1" applyAlignment="1">
      <alignment vertical="center" wrapText="1"/>
    </xf>
    <xf numFmtId="0" fontId="36" fillId="9" borderId="17" xfId="4" applyFont="1" applyFill="1" applyBorder="1" applyAlignment="1">
      <alignment horizontal="center" vertical="center" wrapText="1"/>
    </xf>
    <xf numFmtId="0" fontId="36" fillId="9" borderId="18" xfId="4" applyFont="1" applyFill="1" applyBorder="1" applyAlignment="1">
      <alignment horizontal="center" vertical="center" wrapText="1"/>
    </xf>
    <xf numFmtId="0" fontId="36" fillId="9" borderId="19" xfId="4" applyFont="1" applyFill="1" applyBorder="1" applyAlignment="1">
      <alignment horizontal="center" vertical="center" wrapText="1"/>
    </xf>
    <xf numFmtId="0" fontId="36" fillId="9" borderId="22" xfId="4" applyFont="1" applyFill="1" applyBorder="1" applyAlignment="1">
      <alignment horizontal="center" vertical="center" wrapText="1"/>
    </xf>
    <xf numFmtId="0" fontId="36" fillId="9" borderId="16" xfId="4" applyFont="1" applyFill="1" applyBorder="1" applyAlignment="1">
      <alignment horizontal="center" vertical="center" wrapText="1"/>
    </xf>
    <xf numFmtId="0" fontId="36" fillId="9" borderId="23" xfId="4" applyFont="1" applyFill="1" applyBorder="1" applyAlignment="1">
      <alignment horizontal="center" vertical="center" wrapText="1"/>
    </xf>
    <xf numFmtId="0" fontId="46" fillId="9" borderId="17" xfId="4" applyFont="1" applyFill="1" applyBorder="1" applyAlignment="1">
      <alignment horizontal="center" vertical="center" wrapText="1"/>
    </xf>
    <xf numFmtId="0" fontId="46" fillId="9" borderId="18" xfId="4" applyFont="1" applyFill="1" applyBorder="1" applyAlignment="1">
      <alignment horizontal="center" vertical="center" wrapText="1"/>
    </xf>
    <xf numFmtId="0" fontId="46" fillId="9" borderId="19" xfId="4" applyFont="1" applyFill="1" applyBorder="1" applyAlignment="1">
      <alignment horizontal="center" vertical="center" wrapText="1"/>
    </xf>
    <xf numFmtId="0" fontId="46" fillId="9" borderId="22" xfId="4" applyFont="1" applyFill="1" applyBorder="1" applyAlignment="1">
      <alignment horizontal="center" vertical="center" wrapText="1"/>
    </xf>
    <xf numFmtId="0" fontId="46" fillId="9" borderId="16" xfId="4" applyFont="1" applyFill="1" applyBorder="1" applyAlignment="1">
      <alignment horizontal="center" vertical="center" wrapText="1"/>
    </xf>
    <xf numFmtId="0" fontId="46" fillId="9" borderId="23" xfId="4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36" fillId="0" borderId="17" xfId="4" applyFont="1" applyFill="1" applyBorder="1" applyAlignment="1">
      <alignment horizontal="center" vertical="center" wrapText="1"/>
    </xf>
    <xf numFmtId="0" fontId="36" fillId="0" borderId="0" xfId="4" applyFont="1" applyFill="1" applyBorder="1" applyAlignment="1">
      <alignment horizontal="center" vertical="center" wrapText="1"/>
    </xf>
    <xf numFmtId="0" fontId="36" fillId="0" borderId="18" xfId="4" applyFont="1" applyFill="1" applyBorder="1" applyAlignment="1">
      <alignment horizontal="center" vertical="center" wrapText="1"/>
    </xf>
    <xf numFmtId="0" fontId="36" fillId="0" borderId="19" xfId="4" applyFont="1" applyFill="1" applyBorder="1" applyAlignment="1">
      <alignment horizontal="center" vertical="center" wrapText="1"/>
    </xf>
    <xf numFmtId="0" fontId="36" fillId="0" borderId="22" xfId="4" applyFont="1" applyFill="1" applyBorder="1" applyAlignment="1">
      <alignment horizontal="center" vertical="center" wrapText="1"/>
    </xf>
    <xf numFmtId="0" fontId="36" fillId="0" borderId="16" xfId="4" applyFont="1" applyFill="1" applyBorder="1" applyAlignment="1">
      <alignment horizontal="center" vertical="center" wrapText="1"/>
    </xf>
    <xf numFmtId="0" fontId="36" fillId="0" borderId="23" xfId="4" applyFont="1" applyFill="1" applyBorder="1" applyAlignment="1">
      <alignment horizontal="center" vertical="center" wrapText="1"/>
    </xf>
    <xf numFmtId="0" fontId="36" fillId="0" borderId="17" xfId="4" applyFont="1" applyFill="1" applyBorder="1" applyAlignment="1">
      <alignment horizontal="left" vertical="center" wrapText="1"/>
    </xf>
    <xf numFmtId="0" fontId="36" fillId="0" borderId="18" xfId="4" applyFont="1" applyFill="1" applyBorder="1" applyAlignment="1">
      <alignment horizontal="left" vertical="center" wrapText="1"/>
    </xf>
    <xf numFmtId="0" fontId="36" fillId="0" borderId="19" xfId="4" applyFont="1" applyFill="1" applyBorder="1" applyAlignment="1">
      <alignment horizontal="left" vertical="center" wrapText="1"/>
    </xf>
    <xf numFmtId="0" fontId="36" fillId="9" borderId="24" xfId="4" applyFont="1" applyFill="1" applyBorder="1" applyAlignment="1">
      <alignment horizontal="center" vertical="center" wrapText="1"/>
    </xf>
    <xf numFmtId="0" fontId="36" fillId="9" borderId="25" xfId="4" applyFont="1" applyFill="1" applyBorder="1" applyAlignment="1">
      <alignment horizontal="center" vertical="center" wrapText="1"/>
    </xf>
    <xf numFmtId="0" fontId="36" fillId="0" borderId="22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0" fontId="53" fillId="14" borderId="0" xfId="0" applyFont="1" applyFill="1" applyAlignment="1">
      <alignment horizontal="left" vertical="center" wrapText="1"/>
    </xf>
  </cellXfs>
  <cellStyles count="8">
    <cellStyle name="20% - Accent5 2" xfId="4" xr:uid="{00000000-0005-0000-0000-000000000000}"/>
    <cellStyle name="20% - 輔色6 3 2 2 2 2" xfId="7" xr:uid="{00000000-0005-0000-0000-000001000000}"/>
    <cellStyle name="40% - Accent5 2" xfId="6" xr:uid="{00000000-0005-0000-0000-000002000000}"/>
    <cellStyle name="Normal" xfId="0" builtinId="0"/>
    <cellStyle name="Normal 2" xfId="5" xr:uid="{00000000-0005-0000-0000-000003000000}"/>
    <cellStyle name="Normal 2 2" xfId="3" xr:uid="{00000000-0005-0000-0000-000004000000}"/>
    <cellStyle name="一般 2" xfId="1" xr:uid="{00000000-0005-0000-0000-000006000000}"/>
    <cellStyle name="一般 4 2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2"/>
  <sheetViews>
    <sheetView zoomScale="25" zoomScaleNormal="25" workbookViewId="0">
      <selection activeCell="J15" sqref="J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45877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6" t="s">
        <v>39</v>
      </c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 t="s">
        <v>13</v>
      </c>
      <c r="G5" s="25" t="s">
        <v>229</v>
      </c>
      <c r="H5" s="24" t="s">
        <v>37</v>
      </c>
      <c r="I5" s="25"/>
      <c r="J5" s="24"/>
      <c r="K5" s="26"/>
      <c r="L5" s="24" t="s">
        <v>38</v>
      </c>
      <c r="M5" s="26"/>
      <c r="N5" s="24" t="s">
        <v>13</v>
      </c>
      <c r="O5" s="21" t="s">
        <v>230</v>
      </c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231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3.6</v>
      </c>
      <c r="N9" s="56">
        <v>1.75</v>
      </c>
      <c r="O9" s="65">
        <f>N9-O11</f>
        <v>1.05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414" t="s">
        <v>53</v>
      </c>
      <c r="I11" s="415">
        <v>0</v>
      </c>
      <c r="J11" s="85"/>
      <c r="K11" s="416"/>
      <c r="L11" s="414" t="s">
        <v>53</v>
      </c>
      <c r="M11" s="417">
        <v>0.4</v>
      </c>
      <c r="N11" s="85" t="s">
        <v>54</v>
      </c>
      <c r="O11" s="411">
        <v>0.7</v>
      </c>
      <c r="P11" s="92" t="s">
        <v>232</v>
      </c>
      <c r="Q11" s="92" t="s">
        <v>233</v>
      </c>
      <c r="R11" s="92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234</v>
      </c>
      <c r="C12" s="107" t="s">
        <v>235</v>
      </c>
      <c r="D12" s="99" t="s">
        <v>60</v>
      </c>
      <c r="E12" s="193" t="s">
        <v>59</v>
      </c>
      <c r="F12" s="407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07" t="s">
        <v>59</v>
      </c>
      <c r="L12" s="99" t="s">
        <v>64</v>
      </c>
      <c r="M12" s="193" t="s">
        <v>59</v>
      </c>
      <c r="N12" s="407" t="s">
        <v>65</v>
      </c>
      <c r="O12" s="193" t="s">
        <v>59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 thickBot="1">
      <c r="A13" s="19"/>
      <c r="B13" s="391" t="s">
        <v>193</v>
      </c>
      <c r="C13" s="193" t="s">
        <v>39</v>
      </c>
      <c r="D13" s="395" t="s">
        <v>202</v>
      </c>
      <c r="E13" s="193" t="s">
        <v>87</v>
      </c>
      <c r="F13" s="404" t="s">
        <v>71</v>
      </c>
      <c r="G13" s="193" t="s">
        <v>194</v>
      </c>
      <c r="H13" s="391" t="s">
        <v>73</v>
      </c>
      <c r="I13" s="193" t="s">
        <v>191</v>
      </c>
      <c r="J13" s="391"/>
      <c r="K13" s="193"/>
      <c r="L13" s="391" t="s">
        <v>210</v>
      </c>
      <c r="M13" s="193" t="s">
        <v>59</v>
      </c>
      <c r="N13" s="391"/>
      <c r="O13" s="193"/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 thickBot="1">
      <c r="A14" s="19"/>
      <c r="B14" s="395" t="s">
        <v>200</v>
      </c>
      <c r="C14" s="20" t="s">
        <v>225</v>
      </c>
      <c r="D14" s="108"/>
      <c r="E14" s="20"/>
      <c r="F14" s="99"/>
      <c r="G14" s="197"/>
      <c r="H14" s="391"/>
      <c r="I14" s="20"/>
      <c r="J14" s="108"/>
      <c r="K14" s="193"/>
      <c r="L14" s="404" t="s">
        <v>71</v>
      </c>
      <c r="M14" s="193" t="s">
        <v>78</v>
      </c>
      <c r="N14" s="408"/>
      <c r="O14" s="107"/>
      <c r="P14" s="109" t="s">
        <v>206</v>
      </c>
      <c r="Q14" s="92" t="s">
        <v>207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236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237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1.8367346938775506</v>
      </c>
      <c r="C18" s="149"/>
      <c r="D18" s="150">
        <f>D52</f>
        <v>1.2244897959183672</v>
      </c>
      <c r="E18" s="149"/>
      <c r="F18" s="148">
        <f>F52</f>
        <v>1.5306122448979589</v>
      </c>
      <c r="G18" s="150"/>
      <c r="H18" s="148">
        <f>H52</f>
        <v>1.8367346938775506</v>
      </c>
      <c r="I18" s="150"/>
      <c r="J18" s="148">
        <f>J52</f>
        <v>1.2244897959183672</v>
      </c>
      <c r="K18" s="150"/>
      <c r="L18" s="151">
        <f>L52</f>
        <v>2.204081632653061</v>
      </c>
      <c r="M18" s="149"/>
      <c r="N18" s="152">
        <f>N52</f>
        <v>0.64285714285714279</v>
      </c>
      <c r="O18" s="149">
        <f>N18+O17</f>
        <v>1.0428571428571427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56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17.962099125364418</v>
      </c>
      <c r="C31" s="218"/>
      <c r="D31" s="219">
        <f>D45</f>
        <v>-13.358600583090386</v>
      </c>
      <c r="E31" s="220"/>
      <c r="F31" s="221">
        <f>F45</f>
        <v>1.8017492711370124</v>
      </c>
      <c r="G31" s="221"/>
      <c r="H31" s="217">
        <f>H45</f>
        <v>25.962099125364418</v>
      </c>
      <c r="I31" s="218"/>
      <c r="J31" s="217">
        <f>J45</f>
        <v>-9.3586005830903858</v>
      </c>
      <c r="K31" s="222"/>
      <c r="L31" s="217">
        <f>L45</f>
        <v>-0.84548104956269299</v>
      </c>
      <c r="M31" s="222"/>
      <c r="N31" s="152">
        <f>N45</f>
        <v>-22.163265306122451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23</v>
      </c>
      <c r="E32" s="229" t="s">
        <v>99</v>
      </c>
      <c r="F32" s="390"/>
      <c r="G32" s="393"/>
      <c r="H32" s="405"/>
      <c r="I32" s="406"/>
      <c r="J32" s="24" t="s">
        <v>100</v>
      </c>
      <c r="K32" s="229" t="s">
        <v>238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 t="s">
        <v>16</v>
      </c>
      <c r="O33" s="229" t="s">
        <v>239</v>
      </c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17.150000000000002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30.320699708454807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108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2.5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3.6</v>
      </c>
      <c r="M44" s="299"/>
      <c r="N44" s="311">
        <f>O9</f>
        <v>1.05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17.962099125364418</v>
      </c>
      <c r="C45" s="295"/>
      <c r="D45" s="318">
        <f>B41/B42*D44-D46</f>
        <v>-13.358600583090386</v>
      </c>
      <c r="E45" s="319"/>
      <c r="F45" s="318">
        <f>B41/B42*F44-F46</f>
        <v>1.8017492711370124</v>
      </c>
      <c r="G45" s="320"/>
      <c r="H45" s="321">
        <f>B41/B42*H44-H46</f>
        <v>25.962099125364418</v>
      </c>
      <c r="I45" s="322"/>
      <c r="J45" s="321">
        <f>B41/B42*J44-J46</f>
        <v>-9.3586005830903858</v>
      </c>
      <c r="K45" s="322"/>
      <c r="L45" s="321">
        <f>B41/B42*L44-L46</f>
        <v>-0.84548104956269299</v>
      </c>
      <c r="M45" s="322"/>
      <c r="N45" s="311">
        <f>B41/B42*N44-N46</f>
        <v>-22.163265306122451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49.523809523809526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90.962099125364418</v>
      </c>
      <c r="C51" s="354"/>
      <c r="D51" s="354">
        <f>B43*D44</f>
        <v>60.641399416909614</v>
      </c>
      <c r="E51" s="354"/>
      <c r="F51" s="354">
        <f>B43*F44</f>
        <v>75.801749271137012</v>
      </c>
      <c r="G51" s="354"/>
      <c r="H51" s="359">
        <f>B43*H44</f>
        <v>90.962099125364418</v>
      </c>
      <c r="I51" s="354"/>
      <c r="J51" s="354">
        <f>B43*J44</f>
        <v>60.641399416909614</v>
      </c>
      <c r="K51" s="354"/>
      <c r="L51" s="359">
        <f>B43*L44</f>
        <v>109.15451895043731</v>
      </c>
      <c r="M51" s="354"/>
      <c r="N51" s="354">
        <f>B43*N44</f>
        <v>31.836734693877549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1.8367346938775506</v>
      </c>
      <c r="C52" s="354"/>
      <c r="D52" s="354">
        <f>D51/B50</f>
        <v>1.2244897959183672</v>
      </c>
      <c r="E52" s="354"/>
      <c r="F52" s="354">
        <f>F51/B50</f>
        <v>1.5306122448979589</v>
      </c>
      <c r="G52" s="354"/>
      <c r="H52" s="354">
        <f>H51/B50</f>
        <v>1.8367346938775506</v>
      </c>
      <c r="I52" s="354"/>
      <c r="J52" s="354">
        <f>J51/B50</f>
        <v>1.2244897959183672</v>
      </c>
      <c r="K52" s="354"/>
      <c r="L52" s="359">
        <f>L51/B50</f>
        <v>2.204081632653061</v>
      </c>
      <c r="M52" s="354"/>
      <c r="N52" s="354">
        <f>N51/B50</f>
        <v>0.64285714285714279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1.85</v>
      </c>
      <c r="H70" s="376">
        <v>0</v>
      </c>
      <c r="I70" s="377">
        <v>0</v>
      </c>
      <c r="J70" s="376">
        <f>SUM(C70:H70)</f>
        <v>3.5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0.75</v>
      </c>
      <c r="D74" s="382">
        <f>IF(OR(E1="Monday",E1="Friday"),0.25,0.5)</f>
        <v>0.25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2"/>
  <sheetViews>
    <sheetView topLeftCell="C1" zoomScale="25" zoomScaleNormal="25" workbookViewId="0">
      <selection activeCell="G13" sqref="G1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45881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23</v>
      </c>
      <c r="E3" s="23"/>
      <c r="F3" s="24" t="s">
        <v>198</v>
      </c>
      <c r="G3" s="20"/>
      <c r="H3" s="22" t="s">
        <v>47</v>
      </c>
      <c r="I3" s="26"/>
      <c r="J3" s="24" t="s">
        <v>100</v>
      </c>
      <c r="K3" s="26"/>
      <c r="L3" s="24" t="s">
        <v>216</v>
      </c>
      <c r="N3" s="22" t="s">
        <v>16</v>
      </c>
      <c r="O3" s="26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245</v>
      </c>
      <c r="G4" s="21"/>
      <c r="H4" s="24" t="s">
        <v>25</v>
      </c>
      <c r="I4" s="26"/>
      <c r="J4" s="24" t="s">
        <v>26</v>
      </c>
      <c r="K4" s="32"/>
      <c r="L4" s="24" t="s">
        <v>38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/>
      <c r="G5" s="26"/>
      <c r="H5" s="24" t="s">
        <v>37</v>
      </c>
      <c r="I5" s="25"/>
      <c r="J5" s="24"/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/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246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2.6</v>
      </c>
      <c r="J9" s="61"/>
      <c r="K9" s="60">
        <v>2</v>
      </c>
      <c r="L9" s="64">
        <v>3</v>
      </c>
      <c r="M9" s="62">
        <f>L9-M11</f>
        <v>3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87" t="s">
        <v>53</v>
      </c>
      <c r="I11" s="88">
        <v>0.4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199</v>
      </c>
      <c r="Q11" s="92" t="s">
        <v>55</v>
      </c>
      <c r="R11" s="92" t="s">
        <v>240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199</v>
      </c>
      <c r="C12" s="107" t="s">
        <v>213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213</v>
      </c>
      <c r="L12" s="99" t="s">
        <v>64</v>
      </c>
      <c r="M12" s="193" t="s">
        <v>59</v>
      </c>
      <c r="N12" s="407" t="s">
        <v>65</v>
      </c>
      <c r="O12" s="193" t="s">
        <v>59</v>
      </c>
      <c r="P12" s="92" t="s">
        <v>60</v>
      </c>
      <c r="Q12" s="92" t="s">
        <v>247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07" t="s">
        <v>70</v>
      </c>
      <c r="D13" s="420" t="s">
        <v>200</v>
      </c>
      <c r="E13" s="193" t="s">
        <v>194</v>
      </c>
      <c r="F13" s="391"/>
      <c r="G13" s="193"/>
      <c r="H13" s="392" t="s">
        <v>71</v>
      </c>
      <c r="I13" s="107" t="s">
        <v>87</v>
      </c>
      <c r="J13" s="392" t="s">
        <v>205</v>
      </c>
      <c r="K13" s="193" t="s">
        <v>87</v>
      </c>
      <c r="L13" s="391" t="s">
        <v>212</v>
      </c>
      <c r="M13" s="193" t="s">
        <v>59</v>
      </c>
      <c r="N13" s="391" t="s">
        <v>55</v>
      </c>
      <c r="O13" s="193" t="s">
        <v>72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 t="s">
        <v>200</v>
      </c>
      <c r="C14" s="107" t="s">
        <v>248</v>
      </c>
      <c r="D14" s="392"/>
      <c r="E14" s="107"/>
      <c r="F14" s="392"/>
      <c r="G14" s="193"/>
      <c r="H14" s="392" t="s">
        <v>73</v>
      </c>
      <c r="I14" s="107" t="s">
        <v>36</v>
      </c>
      <c r="J14" s="391" t="s">
        <v>73</v>
      </c>
      <c r="K14" s="193" t="s">
        <v>74</v>
      </c>
      <c r="L14" s="392"/>
      <c r="M14" s="193"/>
      <c r="N14" s="395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5"/>
      <c r="C15" s="107"/>
      <c r="D15" s="99"/>
      <c r="E15" s="107"/>
      <c r="F15" s="392"/>
      <c r="G15" s="193"/>
      <c r="H15" s="106"/>
      <c r="J15" s="392"/>
      <c r="K15" s="107"/>
      <c r="L15" s="420"/>
      <c r="M15" s="193"/>
      <c r="N15" s="24"/>
      <c r="O15" s="107"/>
      <c r="P15" s="109" t="s">
        <v>82</v>
      </c>
      <c r="Q15" s="92" t="s">
        <v>63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125"/>
      <c r="K16" s="425"/>
      <c r="L16" s="129"/>
      <c r="N16" s="129"/>
      <c r="O16" s="52"/>
      <c r="P16" s="92" t="s">
        <v>237</v>
      </c>
      <c r="Q16" s="404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125" t="s">
        <v>66</v>
      </c>
      <c r="E17" s="428" t="s">
        <v>85</v>
      </c>
      <c r="F17" s="125" t="s">
        <v>66</v>
      </c>
      <c r="G17" s="127" t="s">
        <v>221</v>
      </c>
      <c r="H17" s="125" t="s">
        <v>73</v>
      </c>
      <c r="I17" s="140" t="s">
        <v>87</v>
      </c>
      <c r="J17" s="46"/>
      <c r="K17" s="422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2.1886792452830184</v>
      </c>
      <c r="C18" s="150"/>
      <c r="D18" s="148">
        <f>D52</f>
        <v>1.4591194968553458</v>
      </c>
      <c r="E18" s="149"/>
      <c r="F18" s="148">
        <f>F52</f>
        <v>1.4591194968553458</v>
      </c>
      <c r="G18" s="150"/>
      <c r="H18" s="148">
        <f>H52</f>
        <v>1.8968553459119497</v>
      </c>
      <c r="I18" s="150"/>
      <c r="J18" s="423">
        <f>J52</f>
        <v>1.4591194968553458</v>
      </c>
      <c r="K18" s="424"/>
      <c r="L18" s="151">
        <f>L52</f>
        <v>2.1886792452830184</v>
      </c>
      <c r="M18" s="149"/>
      <c r="N18" s="152">
        <f>N52</f>
        <v>0.94842767295597485</v>
      </c>
      <c r="O18" s="149">
        <f>N18+O17</f>
        <v>1.348427672955975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251</v>
      </c>
      <c r="C19" s="107" t="s">
        <v>252</v>
      </c>
      <c r="D19" s="56"/>
      <c r="E19" s="107"/>
      <c r="F19" s="56"/>
      <c r="G19" s="158"/>
      <c r="H19" s="56" t="s">
        <v>253</v>
      </c>
      <c r="I19" s="107" t="s">
        <v>254</v>
      </c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61" thickBot="1">
      <c r="A20" s="51"/>
      <c r="B20" s="24"/>
      <c r="C20" s="107"/>
      <c r="D20" s="56"/>
      <c r="E20" s="107"/>
      <c r="F20" s="72"/>
      <c r="G20" s="160"/>
      <c r="H20" s="56" t="s">
        <v>255</v>
      </c>
      <c r="I20" s="107" t="s">
        <v>256</v>
      </c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0" t="s">
        <v>257</v>
      </c>
      <c r="C21" s="107" t="s">
        <v>258</v>
      </c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56" t="s">
        <v>259</v>
      </c>
      <c r="C22" s="429" t="s">
        <v>260</v>
      </c>
      <c r="D22" s="166"/>
      <c r="E22" s="107"/>
      <c r="F22" s="72"/>
      <c r="G22" s="167" t="s">
        <v>117</v>
      </c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336" customHeight="1" thickBot="1">
      <c r="A24" s="96"/>
      <c r="B24" s="56"/>
      <c r="C24" s="429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22.849056603773576</v>
      </c>
      <c r="C31" s="218"/>
      <c r="D31" s="219">
        <f>D45</f>
        <v>-5.1006289308176136</v>
      </c>
      <c r="E31" s="220"/>
      <c r="F31" s="221">
        <f>F45</f>
        <v>-10.100628930817614</v>
      </c>
      <c r="G31" s="221"/>
      <c r="H31" s="217">
        <f>H45</f>
        <v>18.069182389937112</v>
      </c>
      <c r="I31" s="218"/>
      <c r="J31" s="217">
        <f>J45</f>
        <v>-4.1006289308176136</v>
      </c>
      <c r="K31" s="222"/>
      <c r="L31" s="217">
        <f>L45</f>
        <v>-14.150943396226424</v>
      </c>
      <c r="M31" s="222"/>
      <c r="N31" s="152">
        <f>N45</f>
        <v>-7.4654088050314442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418" t="s">
        <v>12</v>
      </c>
      <c r="E32" s="229" t="s">
        <v>99</v>
      </c>
      <c r="F32" s="418" t="s">
        <v>241</v>
      </c>
      <c r="G32" s="229" t="s">
        <v>242</v>
      </c>
      <c r="H32" s="419"/>
      <c r="I32" s="406"/>
      <c r="J32" s="24" t="s">
        <v>14</v>
      </c>
      <c r="K32" s="229" t="s">
        <v>99</v>
      </c>
      <c r="L32" s="22" t="s">
        <v>243</v>
      </c>
      <c r="M32" s="107" t="s">
        <v>99</v>
      </c>
      <c r="N32" s="24" t="s">
        <v>28</v>
      </c>
      <c r="O32" s="421" t="s">
        <v>250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508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15.9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31.949685534591193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108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22.849056603773576</v>
      </c>
      <c r="C45" s="295"/>
      <c r="D45" s="318">
        <f>B41/B42*D44-D46</f>
        <v>-5.1006289308176136</v>
      </c>
      <c r="E45" s="319"/>
      <c r="F45" s="318">
        <f>B41/B42*F44-F46</f>
        <v>-10.100628930817614</v>
      </c>
      <c r="G45" s="320"/>
      <c r="H45" s="321">
        <f>B41/B42*H44-H46</f>
        <v>18.069182389937112</v>
      </c>
      <c r="I45" s="322"/>
      <c r="J45" s="321">
        <f>B41/B42*J44-J46</f>
        <v>-4.1006289308176136</v>
      </c>
      <c r="K45" s="322"/>
      <c r="L45" s="321">
        <f>B41/B42*L44-L46</f>
        <v>-14.150943396226424</v>
      </c>
      <c r="M45" s="322"/>
      <c r="N45" s="311">
        <f>B41/B42*N44-N46</f>
        <v>-7.4654088050314442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69</v>
      </c>
      <c r="E46" s="130" t="s">
        <v>244</v>
      </c>
      <c r="F46" s="318">
        <v>74</v>
      </c>
      <c r="G46" s="320"/>
      <c r="H46" s="332">
        <v>65</v>
      </c>
      <c r="J46" s="321">
        <v>68</v>
      </c>
      <c r="K46" s="322"/>
      <c r="L46" s="333">
        <v>110</v>
      </c>
      <c r="M46" s="322"/>
      <c r="N46" s="334">
        <v>49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11.6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43.793103448275865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95.849056603773576</v>
      </c>
      <c r="C51" s="354"/>
      <c r="D51" s="354">
        <f>B43*D44</f>
        <v>63.899371069182386</v>
      </c>
      <c r="E51" s="354"/>
      <c r="F51" s="354">
        <f>B43*F44</f>
        <v>63.899371069182386</v>
      </c>
      <c r="G51" s="354"/>
      <c r="H51" s="359">
        <f>B43*H44</f>
        <v>83.069182389937112</v>
      </c>
      <c r="I51" s="354"/>
      <c r="J51" s="354">
        <f>B43*J44</f>
        <v>63.899371069182386</v>
      </c>
      <c r="K51" s="354"/>
      <c r="L51" s="359">
        <f>B43*L44</f>
        <v>95.849056603773576</v>
      </c>
      <c r="M51" s="354"/>
      <c r="N51" s="354">
        <f>B43*N44</f>
        <v>41.534591194968556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2.1886792452830184</v>
      </c>
      <c r="C52" s="354"/>
      <c r="D52" s="354">
        <f>D51/B50</f>
        <v>1.4591194968553458</v>
      </c>
      <c r="E52" s="354"/>
      <c r="F52" s="354">
        <f>F51/B50</f>
        <v>1.4591194968553458</v>
      </c>
      <c r="G52" s="354"/>
      <c r="H52" s="354">
        <f>H51/B50</f>
        <v>1.8968553459119497</v>
      </c>
      <c r="I52" s="354"/>
      <c r="J52" s="354">
        <f>J51/B50</f>
        <v>1.4591194968553458</v>
      </c>
      <c r="K52" s="354"/>
      <c r="L52" s="359">
        <f>L51/B50</f>
        <v>2.1886792452830184</v>
      </c>
      <c r="M52" s="354"/>
      <c r="N52" s="354">
        <f>N51/B50</f>
        <v>0.94842767295597485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0.75</v>
      </c>
      <c r="D70" s="376" t="s">
        <v>178</v>
      </c>
      <c r="E70" s="376">
        <v>0.25</v>
      </c>
      <c r="F70" s="376">
        <f>O17</f>
        <v>0.4</v>
      </c>
      <c r="G70" s="380">
        <v>1</v>
      </c>
      <c r="H70" s="376">
        <v>0</v>
      </c>
      <c r="I70" s="377">
        <v>0</v>
      </c>
      <c r="J70" s="376">
        <f>SUM(C70:H70)</f>
        <v>2.4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01"/>
  <sheetViews>
    <sheetView zoomScale="20" zoomScaleNormal="20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45891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N3" s="24" t="s">
        <v>28</v>
      </c>
      <c r="O3" s="26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>
        <v>0.75</v>
      </c>
      <c r="F4" s="24" t="s">
        <v>265</v>
      </c>
      <c r="G4" s="21"/>
      <c r="H4" s="24" t="s">
        <v>25</v>
      </c>
      <c r="I4" s="26"/>
      <c r="J4" s="24" t="s">
        <v>26</v>
      </c>
      <c r="K4" s="32">
        <v>0.75</v>
      </c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268</v>
      </c>
      <c r="C5" s="21" t="s">
        <v>269</v>
      </c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13</v>
      </c>
      <c r="M6" s="26" t="s">
        <v>188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46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270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2.5</v>
      </c>
      <c r="D9" s="61"/>
      <c r="E9" s="60">
        <v>1.75</v>
      </c>
      <c r="F9" s="32"/>
      <c r="G9" s="62">
        <v>2</v>
      </c>
      <c r="H9" s="63">
        <v>3</v>
      </c>
      <c r="I9" s="62">
        <f>H9-I11</f>
        <v>2.75</v>
      </c>
      <c r="J9" s="61"/>
      <c r="K9" s="60">
        <v>2.75</v>
      </c>
      <c r="L9" s="64">
        <v>3.5</v>
      </c>
      <c r="M9" s="62">
        <f>L9-M11</f>
        <v>3.5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0.25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199</v>
      </c>
      <c r="Q11" s="92" t="s">
        <v>263</v>
      </c>
      <c r="R11" s="391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213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36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271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263</v>
      </c>
      <c r="C13" s="182" t="s">
        <v>248</v>
      </c>
      <c r="D13" s="391" t="s">
        <v>189</v>
      </c>
      <c r="E13" s="107" t="s">
        <v>78</v>
      </c>
      <c r="F13" s="391" t="s">
        <v>67</v>
      </c>
      <c r="G13" s="177" t="s">
        <v>72</v>
      </c>
      <c r="H13" s="391" t="s">
        <v>73</v>
      </c>
      <c r="I13" s="107" t="s">
        <v>191</v>
      </c>
      <c r="J13" s="391" t="s">
        <v>189</v>
      </c>
      <c r="K13" s="100" t="s">
        <v>203</v>
      </c>
      <c r="L13" s="391" t="s">
        <v>212</v>
      </c>
      <c r="M13" s="193" t="s">
        <v>213</v>
      </c>
      <c r="N13" s="391" t="s">
        <v>263</v>
      </c>
      <c r="O13" s="177" t="s">
        <v>72</v>
      </c>
      <c r="P13" s="92" t="s">
        <v>75</v>
      </c>
      <c r="Q13" s="92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2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74</v>
      </c>
      <c r="L14" s="391" t="s">
        <v>67</v>
      </c>
      <c r="M14" s="100" t="s">
        <v>78</v>
      </c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2"/>
      <c r="C15" s="107"/>
      <c r="D15" s="395"/>
      <c r="E15" s="107"/>
      <c r="F15" s="99"/>
      <c r="G15" s="107"/>
      <c r="H15" s="106"/>
      <c r="J15" s="391" t="s">
        <v>263</v>
      </c>
      <c r="K15" s="193" t="s">
        <v>87</v>
      </c>
      <c r="L15" s="391"/>
      <c r="M15" s="100"/>
      <c r="N15" s="24"/>
      <c r="O15" s="107"/>
      <c r="P15" s="109" t="s">
        <v>82</v>
      </c>
      <c r="Q15" s="92" t="s">
        <v>272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92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86</v>
      </c>
      <c r="H17" s="125"/>
      <c r="I17" s="140"/>
      <c r="J17" s="46"/>
      <c r="K17" s="422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1.6012084592145013</v>
      </c>
      <c r="C18" s="150"/>
      <c r="D18" s="148">
        <f>D51</f>
        <v>1.1208459214501509</v>
      </c>
      <c r="E18" s="149"/>
      <c r="F18" s="148">
        <f>F51</f>
        <v>1.280966767371601</v>
      </c>
      <c r="G18" s="150"/>
      <c r="H18" s="148">
        <f>H51</f>
        <v>1.7613293051359515</v>
      </c>
      <c r="I18" s="150"/>
      <c r="J18" s="148">
        <f>J51</f>
        <v>1.7613293051359515</v>
      </c>
      <c r="K18" s="149"/>
      <c r="L18" s="151">
        <f>L51</f>
        <v>2.2416918429003019</v>
      </c>
      <c r="M18" s="149"/>
      <c r="N18" s="152">
        <f>N51</f>
        <v>0.83262839879154071</v>
      </c>
      <c r="O18" s="149">
        <f>N18+O17</f>
        <v>1.2326283987915407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0"/>
      <c r="G19" s="158"/>
      <c r="H19" s="56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24"/>
      <c r="K21" s="20"/>
      <c r="L21" s="24"/>
      <c r="M21" s="107"/>
      <c r="N21" s="24"/>
      <c r="O21" s="20"/>
      <c r="P21" s="168"/>
      <c r="Q21" s="615" t="s">
        <v>93</v>
      </c>
      <c r="R21" s="615"/>
      <c r="S21" s="616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588"/>
      <c r="Q22" s="589"/>
      <c r="R22" s="589"/>
      <c r="S22" s="590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591"/>
      <c r="Q23" s="592"/>
      <c r="R23" s="592"/>
      <c r="S23" s="593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2.3413897280966722</v>
      </c>
      <c r="C30" s="218"/>
      <c r="D30" s="219">
        <f>D44</f>
        <v>-9.8610271903323294</v>
      </c>
      <c r="E30" s="220"/>
      <c r="F30" s="221">
        <f>F44</f>
        <v>-12.126888217522662</v>
      </c>
      <c r="G30" s="221"/>
      <c r="H30" s="217">
        <f>H44</f>
        <v>20.075528700906347</v>
      </c>
      <c r="I30" s="218"/>
      <c r="J30" s="217">
        <f>J44</f>
        <v>15.075528700906347</v>
      </c>
      <c r="K30" s="222"/>
      <c r="L30" s="217">
        <f>L44</f>
        <v>-1.7220543806646589</v>
      </c>
      <c r="M30" s="222"/>
      <c r="N30" s="152">
        <f>N44</f>
        <v>-13.782477341389729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 t="s">
        <v>33</v>
      </c>
      <c r="C31" s="229" t="s">
        <v>99</v>
      </c>
      <c r="D31" s="418" t="s">
        <v>34</v>
      </c>
      <c r="E31" s="229" t="s">
        <v>99</v>
      </c>
      <c r="F31" s="418"/>
      <c r="G31" s="229"/>
      <c r="H31" s="24"/>
      <c r="I31" s="229"/>
      <c r="J31" s="24" t="s">
        <v>26</v>
      </c>
      <c r="K31" s="229" t="s">
        <v>274</v>
      </c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 t="s">
        <v>23</v>
      </c>
      <c r="E32" s="229" t="s">
        <v>274</v>
      </c>
      <c r="F32" s="24"/>
      <c r="G32" s="229"/>
      <c r="H32" s="24"/>
      <c r="I32" s="230"/>
      <c r="J32" s="24"/>
      <c r="K32" s="229"/>
      <c r="L32" s="24"/>
      <c r="M32" s="107"/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94"/>
      <c r="U40" s="595"/>
      <c r="V40" s="595"/>
      <c r="W40" s="596"/>
      <c r="X40" s="302"/>
      <c r="Y40" s="303"/>
    </row>
    <row r="41" spans="1:31" ht="73" thickBot="1">
      <c r="A41" s="304" t="s">
        <v>136</v>
      </c>
      <c r="B41" s="305">
        <f>SUM(B43:R43)</f>
        <v>16.55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97"/>
      <c r="U41" s="598"/>
      <c r="V41" s="598"/>
      <c r="W41" s="599"/>
      <c r="X41" s="302"/>
      <c r="Y41" s="303"/>
    </row>
    <row r="42" spans="1:31" ht="72">
      <c r="A42" s="304" t="s">
        <v>137</v>
      </c>
      <c r="B42" s="294">
        <f>B40/B41</f>
        <v>30.936555891238669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108">
      <c r="A43" s="310" t="s">
        <v>138</v>
      </c>
      <c r="B43" s="305">
        <f>C9</f>
        <v>2.5</v>
      </c>
      <c r="C43" s="295"/>
      <c r="D43" s="296">
        <f>E9</f>
        <v>1.75</v>
      </c>
      <c r="E43" s="297"/>
      <c r="F43" s="296">
        <f>G9</f>
        <v>2</v>
      </c>
      <c r="G43" s="297"/>
      <c r="H43" s="278">
        <f>I9</f>
        <v>2.75</v>
      </c>
      <c r="I43" s="299"/>
      <c r="J43" s="278">
        <f>K9</f>
        <v>2.75</v>
      </c>
      <c r="K43" s="299"/>
      <c r="L43" s="278">
        <f>M9</f>
        <v>3.5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2.3413897280966722</v>
      </c>
      <c r="C44" s="295"/>
      <c r="D44" s="318">
        <f>B40/B41*D43-D45</f>
        <v>-9.8610271903323294</v>
      </c>
      <c r="E44" s="319"/>
      <c r="F44" s="318">
        <f>B40/B41*F43-F45</f>
        <v>-12.126888217522662</v>
      </c>
      <c r="G44" s="320"/>
      <c r="H44" s="321">
        <f>B40/B41*H43-H45</f>
        <v>20.075528700906347</v>
      </c>
      <c r="I44" s="322"/>
      <c r="J44" s="321">
        <f>B40/B41*J43-J45</f>
        <v>15.075528700906347</v>
      </c>
      <c r="K44" s="322"/>
      <c r="L44" s="321">
        <f>B40/B41*L43-L45</f>
        <v>-1.7220543806646589</v>
      </c>
      <c r="M44" s="322"/>
      <c r="N44" s="311">
        <f>B40/B41*N43-N45</f>
        <v>-13.782477341389729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48.301886792452834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77.341389728096672</v>
      </c>
      <c r="C50" s="354"/>
      <c r="D50" s="354">
        <f>B42*D43</f>
        <v>54.138972809667671</v>
      </c>
      <c r="E50" s="354"/>
      <c r="F50" s="354">
        <f>B42*F43</f>
        <v>61.873111782477338</v>
      </c>
      <c r="G50" s="354"/>
      <c r="H50" s="359">
        <f>B42*H43</f>
        <v>85.075528700906347</v>
      </c>
      <c r="I50" s="354"/>
      <c r="J50" s="354">
        <f>B42*J43</f>
        <v>85.075528700906347</v>
      </c>
      <c r="K50" s="354"/>
      <c r="L50" s="359">
        <f>B42*L43</f>
        <v>108.27794561933534</v>
      </c>
      <c r="M50" s="354"/>
      <c r="N50" s="354">
        <f>B42*N43</f>
        <v>40.217522658610271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1.6012084592145013</v>
      </c>
      <c r="C51" s="354"/>
      <c r="D51" s="354">
        <f>D50/B49</f>
        <v>1.1208459214501509</v>
      </c>
      <c r="E51" s="354"/>
      <c r="F51" s="354">
        <f>F50/B49</f>
        <v>1.280966767371601</v>
      </c>
      <c r="G51" s="354"/>
      <c r="H51" s="354">
        <f>H50/B49</f>
        <v>1.7613293051359515</v>
      </c>
      <c r="I51" s="354"/>
      <c r="J51" s="354">
        <f>J50/B49</f>
        <v>1.7613293051359515</v>
      </c>
      <c r="K51" s="354"/>
      <c r="L51" s="359">
        <f>L50/B49</f>
        <v>2.2416918429003019</v>
      </c>
      <c r="M51" s="354"/>
      <c r="N51" s="354">
        <f>N50/B49</f>
        <v>0.83262839879154071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1</v>
      </c>
      <c r="D69" s="376" t="s">
        <v>178</v>
      </c>
      <c r="E69" s="376">
        <v>0</v>
      </c>
      <c r="F69" s="376">
        <f>O17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01"/>
  <sheetViews>
    <sheetView zoomScale="20" zoomScaleNormal="20" workbookViewId="0">
      <selection activeCell="D23" sqref="D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 t="s">
        <v>13</v>
      </c>
      <c r="G5" s="26" t="s">
        <v>192</v>
      </c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278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 t="s">
        <v>279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3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280</v>
      </c>
      <c r="Q11" s="92" t="s">
        <v>281</v>
      </c>
      <c r="R11" s="92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191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73</v>
      </c>
      <c r="G13" s="438" t="s">
        <v>282</v>
      </c>
      <c r="H13" s="391" t="s">
        <v>189</v>
      </c>
      <c r="I13" s="107" t="s">
        <v>191</v>
      </c>
      <c r="J13" s="391" t="s">
        <v>189</v>
      </c>
      <c r="K13" s="193" t="s">
        <v>74</v>
      </c>
      <c r="L13" s="391" t="s">
        <v>212</v>
      </c>
      <c r="M13" s="193" t="s">
        <v>283</v>
      </c>
      <c r="N13" s="391" t="s">
        <v>218</v>
      </c>
      <c r="O13" s="177" t="s">
        <v>72</v>
      </c>
      <c r="P13" s="92" t="s">
        <v>75</v>
      </c>
      <c r="Q13" s="92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78</v>
      </c>
      <c r="L14" s="391"/>
      <c r="M14" s="100"/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7"/>
      <c r="D15" s="395"/>
      <c r="E15" s="107"/>
      <c r="F15" s="99"/>
      <c r="G15" s="107"/>
      <c r="H15" s="106"/>
      <c r="J15" s="391" t="s">
        <v>212</v>
      </c>
      <c r="K15" s="193" t="s">
        <v>220</v>
      </c>
      <c r="L15" s="391"/>
      <c r="M15" s="100"/>
      <c r="N15" s="24"/>
      <c r="O15" s="107"/>
      <c r="P15" s="109" t="s">
        <v>82</v>
      </c>
      <c r="Q15" s="92" t="s">
        <v>63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208</v>
      </c>
      <c r="H17" s="125"/>
      <c r="I17" s="140"/>
      <c r="J17" s="46"/>
      <c r="K17" s="422"/>
      <c r="L17" s="125" t="s">
        <v>266</v>
      </c>
      <c r="M17" s="140" t="s">
        <v>87</v>
      </c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1.7154696132596685</v>
      </c>
      <c r="C18" s="150"/>
      <c r="D18" s="148">
        <f>D51</f>
        <v>1.1436464088397789</v>
      </c>
      <c r="E18" s="149"/>
      <c r="F18" s="148">
        <f>F51</f>
        <v>1.4295580110497235</v>
      </c>
      <c r="G18" s="150"/>
      <c r="H18" s="148">
        <f>H51</f>
        <v>1.7154696132596685</v>
      </c>
      <c r="I18" s="150"/>
      <c r="J18" s="148">
        <f>J51</f>
        <v>1.7154696132596685</v>
      </c>
      <c r="K18" s="149"/>
      <c r="L18" s="151">
        <f>L51</f>
        <v>1.8870165745856351</v>
      </c>
      <c r="M18" s="149"/>
      <c r="N18" s="152">
        <f>N51</f>
        <v>0.74337016574585635</v>
      </c>
      <c r="O18" s="149">
        <f>N18+O17</f>
        <v>1.1433701657458564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>
      <c r="A19" s="51"/>
      <c r="B19" s="56" t="s">
        <v>7</v>
      </c>
      <c r="C19" s="107" t="s">
        <v>284</v>
      </c>
      <c r="D19" s="56"/>
      <c r="E19" s="107"/>
      <c r="F19" s="430"/>
      <c r="G19" s="158"/>
      <c r="H19" s="56" t="s">
        <v>253</v>
      </c>
      <c r="I19" s="107" t="s">
        <v>285</v>
      </c>
      <c r="J19" s="159" t="s">
        <v>251</v>
      </c>
      <c r="K19" s="160" t="s">
        <v>286</v>
      </c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>
      <c r="A20" s="51"/>
      <c r="B20" s="20"/>
      <c r="C20" s="107"/>
      <c r="D20" s="56"/>
      <c r="E20" s="107"/>
      <c r="F20" s="72"/>
      <c r="G20" s="160"/>
      <c r="H20" s="159"/>
      <c r="I20" s="107"/>
      <c r="J20" s="56" t="s">
        <v>259</v>
      </c>
      <c r="K20" s="107" t="s">
        <v>287</v>
      </c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>
      <c r="A21" s="51"/>
      <c r="B21" s="56"/>
      <c r="C21" s="182"/>
      <c r="D21" s="56"/>
      <c r="E21" s="107"/>
      <c r="F21" s="72"/>
      <c r="G21" s="167"/>
      <c r="H21" s="24"/>
      <c r="I21" s="107"/>
      <c r="J21" s="56" t="s">
        <v>7</v>
      </c>
      <c r="K21" s="107" t="s">
        <v>288</v>
      </c>
      <c r="L21" s="24"/>
      <c r="M21" s="107"/>
      <c r="N21" s="24"/>
      <c r="O21" s="20"/>
      <c r="P21" s="168"/>
      <c r="Q21" s="615" t="s">
        <v>93</v>
      </c>
      <c r="R21" s="615"/>
      <c r="S21" s="616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588"/>
      <c r="Q22" s="589"/>
      <c r="R22" s="589"/>
      <c r="S22" s="590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591"/>
      <c r="Q23" s="592"/>
      <c r="R23" s="592"/>
      <c r="S23" s="593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9.8618784530386705</v>
      </c>
      <c r="C30" s="218"/>
      <c r="D30" s="219">
        <f>D44</f>
        <v>-7.4254143646408863</v>
      </c>
      <c r="E30" s="220"/>
      <c r="F30" s="221">
        <f>F44</f>
        <v>-3.281767955801115</v>
      </c>
      <c r="G30" s="221"/>
      <c r="H30" s="217">
        <f>H44</f>
        <v>19.861878453038671</v>
      </c>
      <c r="I30" s="218"/>
      <c r="J30" s="217">
        <f>J44</f>
        <v>14.861878453038671</v>
      </c>
      <c r="K30" s="222"/>
      <c r="L30" s="217">
        <f>L44</f>
        <v>-16.65193370165747</v>
      </c>
      <c r="M30" s="222"/>
      <c r="N30" s="152">
        <f>N44</f>
        <v>-17.226519337016576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8" t="s">
        <v>34</v>
      </c>
      <c r="E31" s="229" t="s">
        <v>99</v>
      </c>
      <c r="F31" s="418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94"/>
      <c r="U40" s="595"/>
      <c r="V40" s="595"/>
      <c r="W40" s="596"/>
      <c r="X40" s="302"/>
      <c r="Y40" s="303"/>
    </row>
    <row r="41" spans="1:31" ht="73" thickBot="1">
      <c r="A41" s="304" t="s">
        <v>136</v>
      </c>
      <c r="B41" s="305">
        <f>SUM(B43:R43)</f>
        <v>18.100000000000001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97"/>
      <c r="U41" s="598"/>
      <c r="V41" s="598"/>
      <c r="W41" s="599"/>
      <c r="X41" s="302"/>
      <c r="Y41" s="303"/>
    </row>
    <row r="42" spans="1:31" ht="72">
      <c r="A42" s="304" t="s">
        <v>137</v>
      </c>
      <c r="B42" s="294">
        <f>B40/B41</f>
        <v>28.287292817679557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2.5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3.3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9.8618784530386705</v>
      </c>
      <c r="C44" s="295"/>
      <c r="D44" s="318">
        <f>B40/B41*D43-D45</f>
        <v>-7.4254143646408863</v>
      </c>
      <c r="E44" s="319"/>
      <c r="F44" s="318">
        <f>B40/B41*F43-F45</f>
        <v>-3.281767955801115</v>
      </c>
      <c r="G44" s="320"/>
      <c r="H44" s="321">
        <f>B40/B41*H43-H45</f>
        <v>19.861878453038671</v>
      </c>
      <c r="I44" s="322"/>
      <c r="J44" s="321">
        <f>B40/B41*J43-J45</f>
        <v>14.861878453038671</v>
      </c>
      <c r="K44" s="322"/>
      <c r="L44" s="321">
        <f>B40/B41*L43-L45</f>
        <v>-16.65193370165747</v>
      </c>
      <c r="M44" s="322"/>
      <c r="N44" s="311">
        <f>B40/B41*N43-N45</f>
        <v>-17.226519337016576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84.861878453038671</v>
      </c>
      <c r="C50" s="354"/>
      <c r="D50" s="354">
        <f>B42*D43</f>
        <v>56.574585635359114</v>
      </c>
      <c r="E50" s="354"/>
      <c r="F50" s="354">
        <f>B42*F43</f>
        <v>70.718232044198885</v>
      </c>
      <c r="G50" s="354"/>
      <c r="H50" s="359">
        <f>B42*H43</f>
        <v>84.861878453038671</v>
      </c>
      <c r="I50" s="354"/>
      <c r="J50" s="354">
        <f>B42*J43</f>
        <v>84.861878453038671</v>
      </c>
      <c r="K50" s="354"/>
      <c r="L50" s="359">
        <f>B42*L43</f>
        <v>93.34806629834253</v>
      </c>
      <c r="M50" s="354"/>
      <c r="N50" s="354">
        <f>B42*N43</f>
        <v>36.773480662983424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1.7154696132596685</v>
      </c>
      <c r="C51" s="354"/>
      <c r="D51" s="354">
        <f>D50/B49</f>
        <v>1.1436464088397789</v>
      </c>
      <c r="E51" s="354"/>
      <c r="F51" s="354">
        <f>F50/B49</f>
        <v>1.4295580110497235</v>
      </c>
      <c r="G51" s="354"/>
      <c r="H51" s="354">
        <f>H50/B49</f>
        <v>1.7154696132596685</v>
      </c>
      <c r="I51" s="354"/>
      <c r="J51" s="354">
        <f>J50/B49</f>
        <v>1.7154696132596685</v>
      </c>
      <c r="K51" s="354"/>
      <c r="L51" s="359">
        <f>L50/B49</f>
        <v>1.8870165745856351</v>
      </c>
      <c r="M51" s="354"/>
      <c r="N51" s="354">
        <f>N50/B49</f>
        <v>0.74337016574585635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01"/>
  <sheetViews>
    <sheetView zoomScale="20" zoomScaleNormal="20" workbookViewId="0">
      <selection activeCell="L4" sqref="L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290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>
        <v>0.75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3</v>
      </c>
      <c r="J9" s="61"/>
      <c r="K9" s="60">
        <v>3</v>
      </c>
      <c r="L9" s="64">
        <v>3.75</v>
      </c>
      <c r="M9" s="62">
        <f>L9-M11</f>
        <v>3.75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280</v>
      </c>
      <c r="Q11" s="92" t="s">
        <v>281</v>
      </c>
      <c r="R11" s="391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191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218</v>
      </c>
      <c r="G13" s="177" t="s">
        <v>72</v>
      </c>
      <c r="H13" s="391" t="s">
        <v>189</v>
      </c>
      <c r="I13" s="107" t="s">
        <v>191</v>
      </c>
      <c r="J13" s="391" t="s">
        <v>73</v>
      </c>
      <c r="K13" s="100" t="s">
        <v>248</v>
      </c>
      <c r="L13" s="391" t="s">
        <v>212</v>
      </c>
      <c r="M13" s="193" t="s">
        <v>213</v>
      </c>
      <c r="N13" s="391" t="s">
        <v>73</v>
      </c>
      <c r="O13" s="177" t="s">
        <v>72</v>
      </c>
      <c r="P13" s="92" t="s">
        <v>75</v>
      </c>
      <c r="Q13" s="391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189</v>
      </c>
      <c r="K14" s="193" t="s">
        <v>74</v>
      </c>
      <c r="L14" s="391"/>
      <c r="M14" s="100"/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7"/>
      <c r="D15" s="395"/>
      <c r="E15" s="107"/>
      <c r="F15" s="99"/>
      <c r="G15" s="107"/>
      <c r="H15" s="106"/>
      <c r="J15" s="395"/>
      <c r="K15" s="193"/>
      <c r="L15" s="391"/>
      <c r="M15" s="100"/>
      <c r="N15" s="24"/>
      <c r="O15" s="107"/>
      <c r="P15" s="109" t="s">
        <v>82</v>
      </c>
      <c r="Q15" s="92" t="s">
        <v>63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208</v>
      </c>
      <c r="H17" s="125" t="s">
        <v>266</v>
      </c>
      <c r="I17" s="140" t="s">
        <v>87</v>
      </c>
      <c r="J17" s="46"/>
      <c r="K17" s="422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1.7202216066481995</v>
      </c>
      <c r="C18" s="150"/>
      <c r="D18" s="148">
        <f>D51</f>
        <v>1.1468144044321329</v>
      </c>
      <c r="E18" s="149"/>
      <c r="F18" s="148">
        <f>F51</f>
        <v>1.1468144044321329</v>
      </c>
      <c r="G18" s="150"/>
      <c r="H18" s="148">
        <f>H51</f>
        <v>1.7202216066481995</v>
      </c>
      <c r="I18" s="150"/>
      <c r="J18" s="148">
        <f>J51</f>
        <v>1.7202216066481995</v>
      </c>
      <c r="K18" s="149"/>
      <c r="L18" s="151">
        <f>L51</f>
        <v>2.1502770083102494</v>
      </c>
      <c r="M18" s="149"/>
      <c r="N18" s="152">
        <f>N51</f>
        <v>0.74542936288088646</v>
      </c>
      <c r="O18" s="149">
        <f>N18+O17</f>
        <v>1.1454293628808865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0"/>
      <c r="G19" s="158"/>
      <c r="H19" s="56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56"/>
      <c r="K21" s="107"/>
      <c r="L21" s="24"/>
      <c r="M21" s="107"/>
      <c r="N21" s="24"/>
      <c r="O21" s="20"/>
      <c r="P21" s="168"/>
      <c r="Q21" s="615" t="s">
        <v>93</v>
      </c>
      <c r="R21" s="615"/>
      <c r="S21" s="616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588"/>
      <c r="Q22" s="589"/>
      <c r="R22" s="589"/>
      <c r="S22" s="590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591"/>
      <c r="Q23" s="592"/>
      <c r="R23" s="592"/>
      <c r="S23" s="593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10.096952908587255</v>
      </c>
      <c r="C30" s="218"/>
      <c r="D30" s="219">
        <f>D44</f>
        <v>-7.2686980609418299</v>
      </c>
      <c r="E30" s="220"/>
      <c r="F30" s="221">
        <f>F44</f>
        <v>-17.26869806094183</v>
      </c>
      <c r="G30" s="221"/>
      <c r="H30" s="217">
        <f>H44</f>
        <v>20.096952908587255</v>
      </c>
      <c r="I30" s="218"/>
      <c r="J30" s="217">
        <f>J44</f>
        <v>15.096952908587255</v>
      </c>
      <c r="K30" s="222"/>
      <c r="L30" s="217">
        <f>L44</f>
        <v>-3.6288088642659346</v>
      </c>
      <c r="M30" s="222"/>
      <c r="N30" s="152">
        <f>N44</f>
        <v>-17.124653739612185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8" t="s">
        <v>34</v>
      </c>
      <c r="E31" s="229" t="s">
        <v>99</v>
      </c>
      <c r="F31" s="418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94"/>
      <c r="U40" s="595"/>
      <c r="V40" s="595"/>
      <c r="W40" s="596"/>
      <c r="X40" s="302"/>
      <c r="Y40" s="303"/>
    </row>
    <row r="41" spans="1:31" ht="73" thickBot="1">
      <c r="A41" s="304" t="s">
        <v>136</v>
      </c>
      <c r="B41" s="305">
        <f>SUM(B43:R43)</f>
        <v>18.05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97"/>
      <c r="U41" s="598"/>
      <c r="V41" s="598"/>
      <c r="W41" s="599"/>
      <c r="X41" s="302"/>
      <c r="Y41" s="303"/>
    </row>
    <row r="42" spans="1:31" ht="72">
      <c r="A42" s="304" t="s">
        <v>137</v>
      </c>
      <c r="B42" s="294">
        <f>B40/B41</f>
        <v>28.365650969529085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3.75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10.096952908587255</v>
      </c>
      <c r="C44" s="295"/>
      <c r="D44" s="318">
        <f>B40/B41*D43-D45</f>
        <v>-7.2686980609418299</v>
      </c>
      <c r="E44" s="319"/>
      <c r="F44" s="318">
        <f>B40/B41*F43-F45</f>
        <v>-17.26869806094183</v>
      </c>
      <c r="G44" s="320"/>
      <c r="H44" s="321">
        <f>B40/B41*H43-H45</f>
        <v>20.096952908587255</v>
      </c>
      <c r="I44" s="322"/>
      <c r="J44" s="321">
        <f>B40/B41*J43-J45</f>
        <v>15.096952908587255</v>
      </c>
      <c r="K44" s="322"/>
      <c r="L44" s="321">
        <f>B40/B41*L43-L45</f>
        <v>-3.6288088642659346</v>
      </c>
      <c r="M44" s="322"/>
      <c r="N44" s="311">
        <f>B40/B41*N43-N45</f>
        <v>-17.124653739612185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85.096952908587255</v>
      </c>
      <c r="C50" s="354"/>
      <c r="D50" s="354">
        <f>B42*D43</f>
        <v>56.73130193905817</v>
      </c>
      <c r="E50" s="354"/>
      <c r="F50" s="354">
        <f>B42*F43</f>
        <v>56.73130193905817</v>
      </c>
      <c r="G50" s="354"/>
      <c r="H50" s="359">
        <f>B42*H43</f>
        <v>85.096952908587255</v>
      </c>
      <c r="I50" s="354"/>
      <c r="J50" s="354">
        <f>B42*J43</f>
        <v>85.096952908587255</v>
      </c>
      <c r="K50" s="354"/>
      <c r="L50" s="359">
        <f>B42*L43</f>
        <v>106.37119113573407</v>
      </c>
      <c r="M50" s="354"/>
      <c r="N50" s="354">
        <f>B42*N43</f>
        <v>36.875346260387815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1.7202216066481995</v>
      </c>
      <c r="C51" s="354"/>
      <c r="D51" s="354">
        <f>D50/B49</f>
        <v>1.1468144044321329</v>
      </c>
      <c r="E51" s="354"/>
      <c r="F51" s="354">
        <f>F50/B49</f>
        <v>1.1468144044321329</v>
      </c>
      <c r="G51" s="354"/>
      <c r="H51" s="354">
        <f>H50/B49</f>
        <v>1.7202216066481995</v>
      </c>
      <c r="I51" s="354"/>
      <c r="J51" s="354">
        <f>J50/B49</f>
        <v>1.7202216066481995</v>
      </c>
      <c r="K51" s="354"/>
      <c r="L51" s="359">
        <f>L50/B49</f>
        <v>2.1502770083102494</v>
      </c>
      <c r="M51" s="354"/>
      <c r="N51" s="354">
        <f>N50/B49</f>
        <v>0.74542936288088646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02"/>
  <sheetViews>
    <sheetView topLeftCell="A16" zoomScale="25" zoomScaleNormal="25" workbookViewId="0">
      <selection activeCell="H23" sqref="H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45875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0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/>
      <c r="G5" s="25"/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222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3</v>
      </c>
      <c r="F9" s="32"/>
      <c r="G9" s="62">
        <v>2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3.75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414" t="s">
        <v>53</v>
      </c>
      <c r="I11" s="415">
        <v>0</v>
      </c>
      <c r="J11" s="85"/>
      <c r="K11" s="416"/>
      <c r="L11" s="414" t="s">
        <v>53</v>
      </c>
      <c r="M11" s="417">
        <v>0.25</v>
      </c>
      <c r="N11" s="85" t="s">
        <v>54</v>
      </c>
      <c r="O11" s="411">
        <v>0.7</v>
      </c>
      <c r="P11" s="92" t="s">
        <v>223</v>
      </c>
      <c r="Q11" s="92" t="s">
        <v>55</v>
      </c>
      <c r="R11" s="92" t="s">
        <v>217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199</v>
      </c>
      <c r="C12" s="107" t="s">
        <v>224</v>
      </c>
      <c r="D12" s="99" t="s">
        <v>60</v>
      </c>
      <c r="E12" s="193" t="s">
        <v>59</v>
      </c>
      <c r="F12" s="407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93" t="s">
        <v>201</v>
      </c>
      <c r="L12" s="99" t="s">
        <v>64</v>
      </c>
      <c r="M12" s="193" t="s">
        <v>59</v>
      </c>
      <c r="N12" s="407" t="s">
        <v>65</v>
      </c>
      <c r="O12" s="193" t="s">
        <v>225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93" t="s">
        <v>70</v>
      </c>
      <c r="D13" s="395" t="s">
        <v>200</v>
      </c>
      <c r="E13" s="193" t="s">
        <v>203</v>
      </c>
      <c r="F13" s="391" t="s">
        <v>55</v>
      </c>
      <c r="G13" s="193" t="s">
        <v>72</v>
      </c>
      <c r="H13" s="391" t="s">
        <v>73</v>
      </c>
      <c r="I13" s="193" t="s">
        <v>191</v>
      </c>
      <c r="J13" s="391" t="s">
        <v>204</v>
      </c>
      <c r="K13" s="193" t="s">
        <v>74</v>
      </c>
      <c r="L13" s="391" t="s">
        <v>219</v>
      </c>
      <c r="M13" s="193" t="s">
        <v>59</v>
      </c>
      <c r="N13" s="391" t="s">
        <v>71</v>
      </c>
      <c r="O13" s="193" t="s">
        <v>194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19"/>
      <c r="B14" s="391" t="s">
        <v>204</v>
      </c>
      <c r="C14" s="20" t="s">
        <v>78</v>
      </c>
      <c r="D14" s="108"/>
      <c r="E14" s="20"/>
      <c r="F14" s="99"/>
      <c r="G14" s="197"/>
      <c r="H14" s="391"/>
      <c r="I14" s="20"/>
      <c r="J14" s="108"/>
      <c r="K14" s="193"/>
      <c r="L14" s="395" t="s">
        <v>200</v>
      </c>
      <c r="M14" s="193" t="s">
        <v>78</v>
      </c>
      <c r="N14" s="408"/>
      <c r="O14" s="107"/>
      <c r="P14" s="109" t="s">
        <v>206</v>
      </c>
      <c r="Q14" s="92" t="s">
        <v>219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226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227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1.8240997229916895</v>
      </c>
      <c r="C18" s="149"/>
      <c r="D18" s="150">
        <f>D52</f>
        <v>1.8240997229916895</v>
      </c>
      <c r="E18" s="149"/>
      <c r="F18" s="148">
        <f>F52</f>
        <v>1.2160664819944598</v>
      </c>
      <c r="G18" s="150"/>
      <c r="H18" s="148">
        <f>H52</f>
        <v>1.8240997229916895</v>
      </c>
      <c r="I18" s="150"/>
      <c r="J18" s="148">
        <f>J52</f>
        <v>1.2160664819944598</v>
      </c>
      <c r="K18" s="150"/>
      <c r="L18" s="151">
        <f>L52</f>
        <v>2.280124653739612</v>
      </c>
      <c r="M18" s="149"/>
      <c r="N18" s="152">
        <f>N52</f>
        <v>0.79044321329639888</v>
      </c>
      <c r="O18" s="149">
        <f>N18+O17</f>
        <v>1.1904432132963989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7</v>
      </c>
      <c r="C19" s="107" t="s">
        <v>291</v>
      </c>
      <c r="D19" s="56" t="s">
        <v>255</v>
      </c>
      <c r="E19" s="107" t="s">
        <v>292</v>
      </c>
      <c r="F19" s="56"/>
      <c r="G19" s="158"/>
      <c r="H19" s="56" t="s">
        <v>251</v>
      </c>
      <c r="I19" s="107" t="s">
        <v>293</v>
      </c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 t="s">
        <v>253</v>
      </c>
      <c r="C20" s="107" t="s">
        <v>294</v>
      </c>
      <c r="D20" s="56"/>
      <c r="E20" s="107"/>
      <c r="F20" s="72"/>
      <c r="G20" s="160"/>
      <c r="H20" s="159" t="s">
        <v>7</v>
      </c>
      <c r="I20" s="107" t="s">
        <v>295</v>
      </c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13.426592797783925</v>
      </c>
      <c r="C31" s="218"/>
      <c r="D31" s="219">
        <f>D45</f>
        <v>12.426592797783925</v>
      </c>
      <c r="E31" s="220"/>
      <c r="F31" s="221">
        <f>F45</f>
        <v>-16.382271468144047</v>
      </c>
      <c r="G31" s="221"/>
      <c r="H31" s="217">
        <f>H45</f>
        <v>21.426592797783925</v>
      </c>
      <c r="I31" s="218"/>
      <c r="J31" s="217">
        <f>J45</f>
        <v>-12.382271468144047</v>
      </c>
      <c r="K31" s="222"/>
      <c r="L31" s="217">
        <f>L45</f>
        <v>-1.9667590027700896</v>
      </c>
      <c r="M31" s="222"/>
      <c r="N31" s="152">
        <f>N45</f>
        <v>-16.548476454293628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/>
      <c r="E32" s="229"/>
      <c r="F32" s="390"/>
      <c r="G32" s="393"/>
      <c r="H32" s="405"/>
      <c r="I32" s="406"/>
      <c r="J32" s="24" t="s">
        <v>100</v>
      </c>
      <c r="K32" s="229" t="s">
        <v>99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18.05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28.808864265927976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3</v>
      </c>
      <c r="E44" s="297"/>
      <c r="F44" s="296">
        <f>G9</f>
        <v>2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3.75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13.426592797783925</v>
      </c>
      <c r="C45" s="295"/>
      <c r="D45" s="318">
        <f>B41/B42*D44-D46</f>
        <v>12.426592797783925</v>
      </c>
      <c r="E45" s="319"/>
      <c r="F45" s="318">
        <f>B41/B42*F44-F46</f>
        <v>-16.382271468144047</v>
      </c>
      <c r="G45" s="320"/>
      <c r="H45" s="321">
        <f>B41/B42*H44-H46</f>
        <v>21.426592797783925</v>
      </c>
      <c r="I45" s="322"/>
      <c r="J45" s="321">
        <f>B41/B42*J44-J46</f>
        <v>-12.382271468144047</v>
      </c>
      <c r="K45" s="322"/>
      <c r="L45" s="321">
        <f>B41/B42*L44-L46</f>
        <v>-1.9667590027700896</v>
      </c>
      <c r="M45" s="322"/>
      <c r="N45" s="311">
        <f>B41/B42*N44-N46</f>
        <v>-16.548476454293628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10.975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47.380410022779046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86.426592797783925</v>
      </c>
      <c r="C51" s="354"/>
      <c r="D51" s="354">
        <f>B43*D44</f>
        <v>86.426592797783925</v>
      </c>
      <c r="E51" s="354"/>
      <c r="F51" s="354">
        <f>B43*F44</f>
        <v>57.617728531855953</v>
      </c>
      <c r="G51" s="354"/>
      <c r="H51" s="359">
        <f>B43*H44</f>
        <v>86.426592797783925</v>
      </c>
      <c r="I51" s="354"/>
      <c r="J51" s="354">
        <f>B43*J44</f>
        <v>57.617728531855953</v>
      </c>
      <c r="K51" s="354"/>
      <c r="L51" s="359">
        <f>B43*L44</f>
        <v>108.03324099722991</v>
      </c>
      <c r="M51" s="354"/>
      <c r="N51" s="354">
        <f>B43*N44</f>
        <v>37.451523545706372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1.8240997229916895</v>
      </c>
      <c r="C52" s="354"/>
      <c r="D52" s="354">
        <f>D51/B50</f>
        <v>1.8240997229916895</v>
      </c>
      <c r="E52" s="354"/>
      <c r="F52" s="354">
        <f>F51/B50</f>
        <v>1.2160664819944598</v>
      </c>
      <c r="G52" s="354"/>
      <c r="H52" s="354">
        <f>H51/B50</f>
        <v>1.8240997229916895</v>
      </c>
      <c r="I52" s="354"/>
      <c r="J52" s="354">
        <f>J51/B50</f>
        <v>1.2160664819944598</v>
      </c>
      <c r="K52" s="354"/>
      <c r="L52" s="359">
        <f>L51/B50</f>
        <v>2.280124653739612</v>
      </c>
      <c r="M52" s="354"/>
      <c r="N52" s="354">
        <f>N51/B50</f>
        <v>0.79044321329639888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1.375</v>
      </c>
      <c r="H70" s="376">
        <v>0</v>
      </c>
      <c r="I70" s="377">
        <v>0</v>
      </c>
      <c r="J70" s="376">
        <f>SUM(C70:H70)</f>
        <v>3.0249999999999999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0.75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02"/>
  <sheetViews>
    <sheetView zoomScale="25" zoomScaleNormal="25" workbookViewId="0">
      <selection activeCell="R12" sqref="R12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92" t="s">
        <v>210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70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/>
      <c r="K13" s="391"/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/>
      <c r="E14" s="107"/>
      <c r="F14" s="391"/>
      <c r="G14" s="20"/>
      <c r="H14" s="394"/>
      <c r="I14" s="20"/>
      <c r="J14" s="391"/>
      <c r="K14" s="107"/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108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02"/>
  <sheetViews>
    <sheetView zoomScale="25" zoomScaleNormal="25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39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1" t="s">
        <v>210</v>
      </c>
      <c r="K14" s="107" t="s">
        <v>74</v>
      </c>
      <c r="L14" s="395" t="s">
        <v>200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391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108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02"/>
  <sheetViews>
    <sheetView zoomScale="25" zoomScaleNormal="25" workbookViewId="0">
      <selection activeCell="K15" sqref="K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00" t="s">
        <v>17</v>
      </c>
      <c r="Q3" s="601"/>
      <c r="R3" s="601"/>
      <c r="S3" s="602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213</v>
      </c>
      <c r="D13" s="395" t="s">
        <v>200</v>
      </c>
      <c r="E13" s="107" t="s">
        <v>261</v>
      </c>
      <c r="F13" s="391" t="s">
        <v>193</v>
      </c>
      <c r="G13" s="391" t="s">
        <v>36</v>
      </c>
      <c r="H13" s="391" t="s">
        <v>210</v>
      </c>
      <c r="I13" s="107" t="s">
        <v>296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/>
      <c r="C14" s="20"/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5" t="s">
        <v>200</v>
      </c>
      <c r="K14" s="107" t="s">
        <v>74</v>
      </c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05" t="s">
        <v>195</v>
      </c>
      <c r="Q17" s="606"/>
      <c r="R17" s="607"/>
      <c r="S17" s="608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09"/>
      <c r="Q18" s="610"/>
      <c r="R18" s="610"/>
      <c r="S18" s="611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12" t="s">
        <v>90</v>
      </c>
      <c r="Q19" s="613"/>
      <c r="R19" s="613"/>
      <c r="S19" s="614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17"/>
      <c r="Q20" s="618"/>
      <c r="R20" s="618"/>
      <c r="S20" s="619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15" t="s">
        <v>93</v>
      </c>
      <c r="R22" s="615"/>
      <c r="S22" s="616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588"/>
      <c r="Q23" s="589"/>
      <c r="R23" s="589"/>
      <c r="S23" s="590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591"/>
      <c r="Q24" s="592"/>
      <c r="R24" s="592"/>
      <c r="S24" s="593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94"/>
      <c r="U41" s="595"/>
      <c r="V41" s="595"/>
      <c r="W41" s="596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97"/>
      <c r="U42" s="598"/>
      <c r="V42" s="598"/>
      <c r="W42" s="599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108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101"/>
  <sheetViews>
    <sheetView zoomScale="20" zoomScaleNormal="20" workbookViewId="0">
      <selection activeCell="R7" sqref="R7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46024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8" t="s">
        <v>47</v>
      </c>
      <c r="I3" s="447" t="s">
        <v>334</v>
      </c>
      <c r="J3" s="444" t="s">
        <v>297</v>
      </c>
      <c r="K3" s="447"/>
      <c r="L3" s="444" t="s">
        <v>27</v>
      </c>
      <c r="M3" s="447"/>
      <c r="N3" s="444" t="s">
        <v>15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34</v>
      </c>
      <c r="E4" s="447"/>
      <c r="F4" s="444" t="s">
        <v>298</v>
      </c>
      <c r="G4" s="447"/>
      <c r="H4" s="444" t="s">
        <v>301</v>
      </c>
      <c r="I4" s="447"/>
      <c r="J4" s="444" t="s">
        <v>14</v>
      </c>
      <c r="K4" s="450"/>
      <c r="L4" s="451" t="s">
        <v>307</v>
      </c>
      <c r="M4" s="447"/>
      <c r="N4" s="444" t="s">
        <v>333</v>
      </c>
      <c r="O4" s="447"/>
      <c r="P4" s="444" t="s">
        <v>32</v>
      </c>
      <c r="Q4" s="447"/>
      <c r="R4" s="33" t="s">
        <v>300</v>
      </c>
      <c r="S4" s="34"/>
      <c r="T4" s="34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13</v>
      </c>
      <c r="C5" s="447" t="s">
        <v>188</v>
      </c>
      <c r="D5" s="444" t="s">
        <v>342</v>
      </c>
      <c r="E5" s="447" t="s">
        <v>343</v>
      </c>
      <c r="F5" s="444" t="s">
        <v>299</v>
      </c>
      <c r="G5" s="447"/>
      <c r="H5" s="444" t="s">
        <v>37</v>
      </c>
      <c r="I5" s="446"/>
      <c r="J5" s="444" t="s">
        <v>26</v>
      </c>
      <c r="K5" s="447"/>
      <c r="L5" s="451" t="s">
        <v>342</v>
      </c>
      <c r="M5" s="447" t="s">
        <v>39</v>
      </c>
      <c r="N5" s="444" t="s">
        <v>323</v>
      </c>
      <c r="O5" s="447"/>
      <c r="P5" s="444" t="s">
        <v>50</v>
      </c>
      <c r="Q5" s="4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47">
        <v>0.25</v>
      </c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2.5</v>
      </c>
      <c r="D9" s="461"/>
      <c r="E9" s="460">
        <v>2.25</v>
      </c>
      <c r="F9" s="461"/>
      <c r="G9" s="460">
        <v>3</v>
      </c>
      <c r="H9" s="462">
        <v>2.2999999999999998</v>
      </c>
      <c r="I9" s="460">
        <f>H9-I11</f>
        <v>2.2999999999999998</v>
      </c>
      <c r="J9" s="461"/>
      <c r="K9" s="460">
        <v>3</v>
      </c>
      <c r="L9" s="461">
        <v>2.5</v>
      </c>
      <c r="M9" s="460">
        <f>L9-M11</f>
        <v>2.5</v>
      </c>
      <c r="N9" s="463">
        <v>3</v>
      </c>
      <c r="O9" s="460">
        <f>N9-O11</f>
        <v>3</v>
      </c>
      <c r="P9" s="454">
        <v>3.25</v>
      </c>
      <c r="Q9" s="464">
        <f>P9-Q11</f>
        <v>2.5499999999999998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318</v>
      </c>
      <c r="S11" s="548" t="s">
        <v>326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330</v>
      </c>
      <c r="G12" s="500" t="s">
        <v>328</v>
      </c>
      <c r="H12" s="521" t="s">
        <v>320</v>
      </c>
      <c r="I12" s="520" t="s">
        <v>328</v>
      </c>
      <c r="J12" s="521" t="s">
        <v>321</v>
      </c>
      <c r="K12" s="500" t="s">
        <v>213</v>
      </c>
      <c r="L12" s="528" t="s">
        <v>312</v>
      </c>
      <c r="M12" s="500" t="s">
        <v>213</v>
      </c>
      <c r="N12" s="522" t="s">
        <v>322</v>
      </c>
      <c r="O12" s="500" t="s">
        <v>213</v>
      </c>
      <c r="P12" s="530" t="s">
        <v>324</v>
      </c>
      <c r="Q12" s="524" t="s">
        <v>328</v>
      </c>
      <c r="R12" s="545" t="s">
        <v>190</v>
      </c>
      <c r="S12" s="545" t="s">
        <v>327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314</v>
      </c>
      <c r="C13" s="525" t="s">
        <v>87</v>
      </c>
      <c r="D13" s="543" t="s">
        <v>339</v>
      </c>
      <c r="E13" s="525" t="s">
        <v>72</v>
      </c>
      <c r="F13" s="542" t="s">
        <v>340</v>
      </c>
      <c r="G13" s="525" t="s">
        <v>36</v>
      </c>
      <c r="H13" s="550" t="s">
        <v>314</v>
      </c>
      <c r="I13" s="525" t="s">
        <v>72</v>
      </c>
      <c r="J13" s="542" t="s">
        <v>340</v>
      </c>
      <c r="K13" s="500" t="s">
        <v>39</v>
      </c>
      <c r="L13" s="543" t="s">
        <v>339</v>
      </c>
      <c r="M13" s="525" t="s">
        <v>74</v>
      </c>
      <c r="N13" s="543" t="s">
        <v>339</v>
      </c>
      <c r="O13" s="525" t="s">
        <v>87</v>
      </c>
      <c r="P13" s="542" t="s">
        <v>202</v>
      </c>
      <c r="Q13" s="525" t="s">
        <v>203</v>
      </c>
      <c r="R13" s="546" t="s">
        <v>336</v>
      </c>
      <c r="S13" s="548" t="s">
        <v>335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25"/>
      <c r="D14" s="542"/>
      <c r="E14" s="525"/>
      <c r="F14" s="543"/>
      <c r="G14" s="525"/>
      <c r="H14" s="543"/>
      <c r="I14" s="525"/>
      <c r="J14" s="542" t="s">
        <v>202</v>
      </c>
      <c r="K14" s="526" t="s">
        <v>78</v>
      </c>
      <c r="L14" s="529"/>
      <c r="M14" s="446"/>
      <c r="N14" s="550" t="s">
        <v>314</v>
      </c>
      <c r="O14" s="526" t="s">
        <v>78</v>
      </c>
      <c r="P14" s="523"/>
      <c r="Q14" s="525"/>
      <c r="R14" s="547" t="s">
        <v>317</v>
      </c>
      <c r="S14" s="548" t="s">
        <v>313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46"/>
      <c r="L15" s="529"/>
      <c r="M15" s="525"/>
      <c r="N15" s="485"/>
      <c r="O15" s="515"/>
      <c r="P15" s="468"/>
      <c r="Q15" s="482"/>
      <c r="R15" s="546" t="s">
        <v>308</v>
      </c>
      <c r="S15" s="545" t="s">
        <v>63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483"/>
      <c r="K16" s="512"/>
      <c r="L16" s="513"/>
      <c r="M16" s="512"/>
      <c r="N16" s="509"/>
      <c r="O16" s="516"/>
      <c r="P16" s="509"/>
      <c r="Q16" s="487"/>
      <c r="R16" s="549" t="s">
        <v>65</v>
      </c>
      <c r="S16" s="551" t="s">
        <v>262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 t="s">
        <v>314</v>
      </c>
      <c r="I17" s="491" t="s">
        <v>74</v>
      </c>
      <c r="J17" s="444"/>
      <c r="K17" s="446"/>
      <c r="L17" s="517"/>
      <c r="M17" s="491"/>
      <c r="N17" s="544"/>
      <c r="O17" s="491"/>
      <c r="P17" s="492" t="s">
        <v>54</v>
      </c>
      <c r="Q17" s="493">
        <v>0.4</v>
      </c>
      <c r="R17" s="605" t="s">
        <v>329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1.3151658767772512</v>
      </c>
      <c r="C18" s="495"/>
      <c r="D18" s="494">
        <f>D51</f>
        <v>1.183649289099526</v>
      </c>
      <c r="E18" s="496"/>
      <c r="F18" s="494">
        <f>F51</f>
        <v>1.578199052132701</v>
      </c>
      <c r="G18" s="495"/>
      <c r="H18" s="494">
        <f>H51</f>
        <v>1.2099526066350708</v>
      </c>
      <c r="I18" s="495"/>
      <c r="J18" s="497">
        <f>J51</f>
        <v>1.578199052132701</v>
      </c>
      <c r="K18" s="495"/>
      <c r="L18" s="497">
        <f>L51</f>
        <v>1.3151658767772512</v>
      </c>
      <c r="M18" s="495"/>
      <c r="N18" s="494">
        <f>N51</f>
        <v>1.578199052132701</v>
      </c>
      <c r="O18" s="496"/>
      <c r="P18" s="498">
        <f>P51</f>
        <v>1.3414691943127959</v>
      </c>
      <c r="Q18" s="496">
        <f>P18+Q17</f>
        <v>1.741469194312796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/>
      <c r="G19" s="501"/>
      <c r="H19" s="506"/>
      <c r="I19" s="507"/>
      <c r="J19" s="499" t="s">
        <v>344</v>
      </c>
      <c r="K19" s="500" t="s">
        <v>345</v>
      </c>
      <c r="L19" s="502"/>
      <c r="M19" s="500"/>
      <c r="N19" s="506" t="s">
        <v>346</v>
      </c>
      <c r="O19" s="507" t="s">
        <v>347</v>
      </c>
      <c r="P19" s="506" t="s">
        <v>350</v>
      </c>
      <c r="Q19" s="507" t="s">
        <v>351</v>
      </c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4"/>
      <c r="G20" s="503"/>
      <c r="H20" s="506"/>
      <c r="I20" s="500"/>
      <c r="J20" s="499"/>
      <c r="K20" s="500"/>
      <c r="L20" s="502"/>
      <c r="M20" s="500"/>
      <c r="N20" s="499" t="s">
        <v>348</v>
      </c>
      <c r="O20" s="500" t="s">
        <v>349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-12.322274881516591</v>
      </c>
      <c r="C30" s="218"/>
      <c r="D30" s="219">
        <f>D44</f>
        <v>-17.590047393364934</v>
      </c>
      <c r="E30" s="220"/>
      <c r="F30" s="221">
        <f>F44</f>
        <v>1.2132701421800789</v>
      </c>
      <c r="G30" s="221"/>
      <c r="H30" s="217">
        <f>H44</f>
        <v>-7.3364928909952738</v>
      </c>
      <c r="I30" s="218"/>
      <c r="J30" s="217">
        <f>J44</f>
        <v>16.213270142180079</v>
      </c>
      <c r="K30" s="222"/>
      <c r="L30" s="217">
        <f>L44</f>
        <v>-0.32227488151659145</v>
      </c>
      <c r="M30" s="222"/>
      <c r="N30" s="217">
        <f>N44</f>
        <v>10.213270142180079</v>
      </c>
      <c r="O30" s="222"/>
      <c r="P30" s="152">
        <f>P44</f>
        <v>9.9312796208530685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238</v>
      </c>
      <c r="D31" s="523" t="s">
        <v>23</v>
      </c>
      <c r="E31" s="532" t="s">
        <v>99</v>
      </c>
      <c r="F31" s="533"/>
      <c r="G31" s="534"/>
      <c r="H31" s="535"/>
      <c r="I31" s="534"/>
      <c r="J31" s="523"/>
      <c r="K31" s="532"/>
      <c r="L31" s="538" t="s">
        <v>101</v>
      </c>
      <c r="M31" s="534" t="s">
        <v>238</v>
      </c>
      <c r="N31" s="552" t="s">
        <v>337</v>
      </c>
      <c r="O31" s="553" t="s">
        <v>338</v>
      </c>
      <c r="P31" s="539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21.1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25.071090047393362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2.25</v>
      </c>
      <c r="E43" s="297"/>
      <c r="F43" s="296">
        <f>G9</f>
        <v>3</v>
      </c>
      <c r="G43" s="297"/>
      <c r="H43" s="278">
        <f>I9</f>
        <v>2.2999999999999998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3</v>
      </c>
      <c r="O43" s="299"/>
      <c r="P43" s="311">
        <f>Q9</f>
        <v>2.5499999999999998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-12.322274881516591</v>
      </c>
      <c r="C44" s="295"/>
      <c r="D44" s="318">
        <f>B40/B41*D43-D45</f>
        <v>-17.590047393364934</v>
      </c>
      <c r="E44" s="319"/>
      <c r="F44" s="318">
        <f>B40/B41*F43-F45</f>
        <v>1.2132701421800789</v>
      </c>
      <c r="G44" s="320"/>
      <c r="H44" s="321">
        <f>B40/B41*H43-H45</f>
        <v>-7.3364928909952738</v>
      </c>
      <c r="I44" s="322"/>
      <c r="J44" s="321">
        <f>B40/B41*J43-J45</f>
        <v>16.213270142180079</v>
      </c>
      <c r="K44" s="322"/>
      <c r="L44" s="321">
        <f>B40/B41*L43-L45</f>
        <v>-0.32227488151659145</v>
      </c>
      <c r="M44" s="322"/>
      <c r="N44" s="321">
        <f>B40/B41*N43-N45</f>
        <v>10.213270142180079</v>
      </c>
      <c r="O44" s="322"/>
      <c r="P44" s="311">
        <f>B40/B41*P43-P45</f>
        <v>9.9312796208530685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331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47.657657657657658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62.677725118483409</v>
      </c>
      <c r="C50" s="354"/>
      <c r="D50" s="354">
        <f>B42*D43</f>
        <v>56.409952606635066</v>
      </c>
      <c r="E50" s="354"/>
      <c r="F50" s="354">
        <f>B42*F43</f>
        <v>75.213270142180079</v>
      </c>
      <c r="G50" s="354"/>
      <c r="H50" s="359">
        <f>B42*H43</f>
        <v>57.663507109004726</v>
      </c>
      <c r="I50" s="354"/>
      <c r="J50" s="354">
        <f>B42*J43</f>
        <v>75.213270142180079</v>
      </c>
      <c r="K50" s="354"/>
      <c r="L50" s="354">
        <f>B42*L43</f>
        <v>62.677725118483409</v>
      </c>
      <c r="M50" s="354"/>
      <c r="N50" s="359">
        <f>B42*N43</f>
        <v>75.213270142180079</v>
      </c>
      <c r="O50" s="354"/>
      <c r="P50" s="354">
        <f>B42*P43</f>
        <v>63.931279620853068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1.3151658767772512</v>
      </c>
      <c r="C51" s="354"/>
      <c r="D51" s="354">
        <f>D50/B49</f>
        <v>1.183649289099526</v>
      </c>
      <c r="E51" s="354"/>
      <c r="F51" s="354">
        <f>F50/B49</f>
        <v>1.578199052132701</v>
      </c>
      <c r="G51" s="354"/>
      <c r="H51" s="354">
        <f>H50/B49</f>
        <v>1.2099526066350708</v>
      </c>
      <c r="I51" s="354"/>
      <c r="J51" s="354">
        <f>J50/B49</f>
        <v>1.578199052132701</v>
      </c>
      <c r="K51" s="354"/>
      <c r="L51" s="354">
        <f>L50/B49</f>
        <v>1.3151658767772512</v>
      </c>
      <c r="M51" s="354"/>
      <c r="N51" s="359">
        <f>N50/B49</f>
        <v>1.578199052132701</v>
      </c>
      <c r="O51" s="354"/>
      <c r="P51" s="354">
        <f>P50/B49</f>
        <v>1.3414691943127959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1.25</v>
      </c>
      <c r="H69" s="376">
        <v>0</v>
      </c>
      <c r="I69" s="377">
        <v>0</v>
      </c>
      <c r="J69" s="376">
        <f>SUM(C69:H69)</f>
        <v>2.9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101"/>
  <sheetViews>
    <sheetView zoomScale="20" zoomScaleNormal="20" workbookViewId="0">
      <selection activeCell="R17" sqref="R17:U18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46027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8" t="s">
        <v>47</v>
      </c>
      <c r="I3" s="447" t="s">
        <v>360</v>
      </c>
      <c r="J3" s="444" t="s">
        <v>297</v>
      </c>
      <c r="K3" s="447"/>
      <c r="L3" s="444" t="s">
        <v>27</v>
      </c>
      <c r="M3" s="447"/>
      <c r="N3" s="444" t="s">
        <v>333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14</v>
      </c>
      <c r="K4" s="450"/>
      <c r="L4" s="451" t="s">
        <v>307</v>
      </c>
      <c r="M4" s="447"/>
      <c r="N4" s="444" t="s">
        <v>323</v>
      </c>
      <c r="O4" s="447"/>
      <c r="P4" s="444" t="s">
        <v>32</v>
      </c>
      <c r="Q4" s="447"/>
      <c r="R4" s="33" t="s">
        <v>300</v>
      </c>
      <c r="S4" s="34"/>
      <c r="T4" s="34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42</v>
      </c>
      <c r="C5" s="447" t="s">
        <v>39</v>
      </c>
      <c r="D5" s="444" t="s">
        <v>34</v>
      </c>
      <c r="E5" s="447"/>
      <c r="F5" s="444" t="s">
        <v>299</v>
      </c>
      <c r="G5" s="447"/>
      <c r="H5" s="444" t="s">
        <v>37</v>
      </c>
      <c r="I5" s="446"/>
      <c r="J5" s="444" t="s">
        <v>26</v>
      </c>
      <c r="K5" s="447"/>
      <c r="L5" s="444" t="s">
        <v>13</v>
      </c>
      <c r="M5" s="447" t="s">
        <v>39</v>
      </c>
      <c r="N5" s="444"/>
      <c r="O5" s="447"/>
      <c r="P5" s="444" t="s">
        <v>50</v>
      </c>
      <c r="Q5" s="4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47">
        <v>0.5</v>
      </c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2.5</v>
      </c>
      <c r="D9" s="461"/>
      <c r="E9" s="460">
        <v>3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3</v>
      </c>
      <c r="L9" s="461">
        <v>2.5</v>
      </c>
      <c r="M9" s="460">
        <f>L9-M11</f>
        <v>2.5</v>
      </c>
      <c r="N9" s="463">
        <v>2</v>
      </c>
      <c r="O9" s="460">
        <f>N9-O11</f>
        <v>2</v>
      </c>
      <c r="P9" s="454">
        <v>3.5</v>
      </c>
      <c r="Q9" s="464">
        <f>P9-Q11</f>
        <v>2.8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318</v>
      </c>
      <c r="S11" s="548" t="s">
        <v>326</v>
      </c>
      <c r="T11" s="545" t="s">
        <v>357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339</v>
      </c>
      <c r="I12" s="520" t="s">
        <v>328</v>
      </c>
      <c r="J12" s="521" t="s">
        <v>321</v>
      </c>
      <c r="K12" s="500" t="s">
        <v>213</v>
      </c>
      <c r="L12" s="528" t="s">
        <v>312</v>
      </c>
      <c r="M12" s="500" t="s">
        <v>213</v>
      </c>
      <c r="N12" s="522" t="s">
        <v>322</v>
      </c>
      <c r="O12" s="500" t="s">
        <v>213</v>
      </c>
      <c r="P12" s="530" t="s">
        <v>324</v>
      </c>
      <c r="Q12" s="524" t="s">
        <v>328</v>
      </c>
      <c r="R12" s="545" t="s">
        <v>190</v>
      </c>
      <c r="S12" s="545" t="s">
        <v>66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359</v>
      </c>
      <c r="C13" s="525" t="s">
        <v>87</v>
      </c>
      <c r="D13" s="542" t="s">
        <v>340</v>
      </c>
      <c r="E13" s="525" t="s">
        <v>191</v>
      </c>
      <c r="F13" s="550" t="s">
        <v>359</v>
      </c>
      <c r="G13" s="525" t="s">
        <v>72</v>
      </c>
      <c r="H13" s="550" t="s">
        <v>314</v>
      </c>
      <c r="I13" s="525" t="s">
        <v>87</v>
      </c>
      <c r="J13" s="550" t="s">
        <v>340</v>
      </c>
      <c r="K13" s="526" t="s">
        <v>74</v>
      </c>
      <c r="L13" s="550" t="s">
        <v>359</v>
      </c>
      <c r="M13" s="525" t="s">
        <v>74</v>
      </c>
      <c r="N13" s="543"/>
      <c r="O13" s="525"/>
      <c r="P13" s="542" t="s">
        <v>202</v>
      </c>
      <c r="Q13" s="525" t="s">
        <v>328</v>
      </c>
      <c r="R13" s="547" t="s">
        <v>75</v>
      </c>
      <c r="S13" s="545" t="s">
        <v>358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25"/>
      <c r="D14" s="542"/>
      <c r="E14" s="525"/>
      <c r="F14" s="550" t="s">
        <v>314</v>
      </c>
      <c r="G14" s="525" t="s">
        <v>364</v>
      </c>
      <c r="H14" s="543"/>
      <c r="I14" s="525"/>
      <c r="J14" s="550" t="s">
        <v>359</v>
      </c>
      <c r="K14" s="526" t="s">
        <v>78</v>
      </c>
      <c r="L14" s="543"/>
      <c r="M14" s="525"/>
      <c r="N14" s="550"/>
      <c r="O14" s="526"/>
      <c r="P14" s="523"/>
      <c r="Q14" s="525"/>
      <c r="R14" s="547" t="s">
        <v>363</v>
      </c>
      <c r="S14" s="548" t="s">
        <v>313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46"/>
      <c r="L15" s="529"/>
      <c r="M15" s="525"/>
      <c r="N15" s="485"/>
      <c r="O15" s="515"/>
      <c r="P15" s="468"/>
      <c r="Q15" s="482"/>
      <c r="R15" s="546" t="s">
        <v>308</v>
      </c>
      <c r="S15" s="545" t="s">
        <v>63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483"/>
      <c r="K16" s="512"/>
      <c r="L16" s="513"/>
      <c r="M16" s="512"/>
      <c r="N16" s="509"/>
      <c r="O16" s="516"/>
      <c r="P16" s="509"/>
      <c r="Q16" s="487"/>
      <c r="R16" s="549" t="s">
        <v>65</v>
      </c>
      <c r="S16" s="551" t="s">
        <v>262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 t="s">
        <v>314</v>
      </c>
      <c r="I17" s="491" t="s">
        <v>74</v>
      </c>
      <c r="J17" s="444"/>
      <c r="K17" s="446"/>
      <c r="L17" s="517"/>
      <c r="M17" s="491"/>
      <c r="N17" s="544"/>
      <c r="O17" s="491"/>
      <c r="P17" s="492" t="s">
        <v>54</v>
      </c>
      <c r="Q17" s="493">
        <v>0.4</v>
      </c>
      <c r="R17" s="605" t="s">
        <v>398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1.3204225352112675</v>
      </c>
      <c r="C18" s="495"/>
      <c r="D18" s="494">
        <f>D51</f>
        <v>1.5845070422535212</v>
      </c>
      <c r="E18" s="496"/>
      <c r="F18" s="494">
        <f>F51</f>
        <v>1.5845070422535212</v>
      </c>
      <c r="G18" s="495"/>
      <c r="H18" s="494">
        <f>H51</f>
        <v>1.3204225352112675</v>
      </c>
      <c r="I18" s="495"/>
      <c r="J18" s="497">
        <f>J51</f>
        <v>1.5845070422535212</v>
      </c>
      <c r="K18" s="495"/>
      <c r="L18" s="497">
        <f>L51</f>
        <v>1.3204225352112675</v>
      </c>
      <c r="M18" s="495"/>
      <c r="N18" s="494">
        <f>N51</f>
        <v>1.056338028169014</v>
      </c>
      <c r="O18" s="496"/>
      <c r="P18" s="498">
        <f>P51</f>
        <v>1.4788732394366197</v>
      </c>
      <c r="Q18" s="496">
        <f>P18+Q17</f>
        <v>1.8788732394366199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 t="s">
        <v>377</v>
      </c>
      <c r="E19" s="507" t="s">
        <v>378</v>
      </c>
      <c r="F19" s="506" t="s">
        <v>350</v>
      </c>
      <c r="G19" s="501" t="s">
        <v>376</v>
      </c>
      <c r="H19" s="506"/>
      <c r="I19" s="507"/>
      <c r="J19" s="499" t="s">
        <v>370</v>
      </c>
      <c r="K19" s="500" t="s">
        <v>371</v>
      </c>
      <c r="L19" s="502"/>
      <c r="M19" s="500"/>
      <c r="N19" s="506"/>
      <c r="O19" s="507"/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 t="s">
        <v>379</v>
      </c>
      <c r="E20" s="500" t="s">
        <v>380</v>
      </c>
      <c r="F20" s="555" t="s">
        <v>373</v>
      </c>
      <c r="G20" s="503" t="s">
        <v>372</v>
      </c>
      <c r="H20" s="506"/>
      <c r="I20" s="500"/>
      <c r="J20" s="499"/>
      <c r="K20" s="500"/>
      <c r="L20" s="502"/>
      <c r="M20" s="500"/>
      <c r="N20" s="499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 t="s">
        <v>375</v>
      </c>
      <c r="E21" s="500" t="s">
        <v>374</v>
      </c>
      <c r="F21" s="72"/>
      <c r="G21" s="167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-4.2018779342723036</v>
      </c>
      <c r="C30" s="218"/>
      <c r="D30" s="219">
        <f>D44</f>
        <v>17.957746478873247</v>
      </c>
      <c r="E30" s="220"/>
      <c r="F30" s="221">
        <f>F44</f>
        <v>6.957746478873247</v>
      </c>
      <c r="G30" s="221"/>
      <c r="H30" s="217">
        <f>H44</f>
        <v>-4.2018779342723036</v>
      </c>
      <c r="I30" s="218"/>
      <c r="J30" s="217">
        <f>J44</f>
        <v>2.957746478873247</v>
      </c>
      <c r="K30" s="222"/>
      <c r="L30" s="217">
        <f>L44</f>
        <v>0.79812206572769639</v>
      </c>
      <c r="M30" s="222"/>
      <c r="N30" s="217">
        <f>N44</f>
        <v>-16.36150234741784</v>
      </c>
      <c r="O30" s="222"/>
      <c r="P30" s="152">
        <f>P44</f>
        <v>-3.9061032863849761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99</v>
      </c>
      <c r="D31" s="523"/>
      <c r="E31" s="532"/>
      <c r="F31" s="533"/>
      <c r="G31" s="534"/>
      <c r="H31" s="535"/>
      <c r="I31" s="534"/>
      <c r="J31" s="523"/>
      <c r="K31" s="532"/>
      <c r="L31" s="538" t="s">
        <v>101</v>
      </c>
      <c r="M31" s="534" t="s">
        <v>238</v>
      </c>
      <c r="N31" s="552" t="s">
        <v>15</v>
      </c>
      <c r="O31" s="553" t="s">
        <v>99</v>
      </c>
      <c r="P31" s="539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 t="s">
        <v>337</v>
      </c>
      <c r="O32" s="554" t="s">
        <v>338</v>
      </c>
      <c r="P32" s="20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518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21.3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24.31924882629108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2</v>
      </c>
      <c r="O43" s="299"/>
      <c r="P43" s="311">
        <f>Q9</f>
        <v>2.8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-4.2018779342723036</v>
      </c>
      <c r="C44" s="295"/>
      <c r="D44" s="318">
        <f>B40/B41*D43-D45</f>
        <v>17.957746478873247</v>
      </c>
      <c r="E44" s="319"/>
      <c r="F44" s="318">
        <f>B40/B41*F43-F45</f>
        <v>6.957746478873247</v>
      </c>
      <c r="G44" s="320"/>
      <c r="H44" s="321">
        <f>B40/B41*H43-H45</f>
        <v>-4.2018779342723036</v>
      </c>
      <c r="I44" s="322"/>
      <c r="J44" s="321">
        <f>B40/B41*J43-J45</f>
        <v>2.957746478873247</v>
      </c>
      <c r="K44" s="322"/>
      <c r="L44" s="321">
        <f>B40/B41*L43-L45</f>
        <v>0.79812206572769639</v>
      </c>
      <c r="M44" s="322"/>
      <c r="N44" s="321">
        <f>B40/B41*N43-N45</f>
        <v>-16.36150234741784</v>
      </c>
      <c r="O44" s="322"/>
      <c r="P44" s="311">
        <f>B40/B41*P43-P45</f>
        <v>-3.9061032863849761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55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 t="s">
        <v>362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11.25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46.044444444444444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60.798122065727696</v>
      </c>
      <c r="C50" s="354"/>
      <c r="D50" s="354">
        <f>B42*D43</f>
        <v>72.957746478873247</v>
      </c>
      <c r="E50" s="354"/>
      <c r="F50" s="354">
        <f>B42*F43</f>
        <v>72.957746478873247</v>
      </c>
      <c r="G50" s="354"/>
      <c r="H50" s="359">
        <f>B42*H43</f>
        <v>60.798122065727696</v>
      </c>
      <c r="I50" s="354"/>
      <c r="J50" s="354">
        <f>B42*J43</f>
        <v>72.957746478873247</v>
      </c>
      <c r="K50" s="354"/>
      <c r="L50" s="354">
        <f>B42*L43</f>
        <v>60.798122065727696</v>
      </c>
      <c r="M50" s="354"/>
      <c r="N50" s="359">
        <f>B42*N43</f>
        <v>48.63849765258216</v>
      </c>
      <c r="O50" s="354"/>
      <c r="P50" s="354">
        <f>B42*P43</f>
        <v>68.093896713615024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1.3204225352112675</v>
      </c>
      <c r="C51" s="354"/>
      <c r="D51" s="354">
        <f>D50/B49</f>
        <v>1.5845070422535212</v>
      </c>
      <c r="E51" s="354"/>
      <c r="F51" s="354">
        <f>F50/B49</f>
        <v>1.5845070422535212</v>
      </c>
      <c r="G51" s="354"/>
      <c r="H51" s="354">
        <f>H50/B49</f>
        <v>1.3204225352112675</v>
      </c>
      <c r="I51" s="354"/>
      <c r="J51" s="354">
        <f>J50/B49</f>
        <v>1.5845070422535212</v>
      </c>
      <c r="K51" s="354"/>
      <c r="L51" s="354">
        <f>L50/B49</f>
        <v>1.3204225352112675</v>
      </c>
      <c r="M51" s="354"/>
      <c r="N51" s="359">
        <f>N50/B49</f>
        <v>1.056338028169014</v>
      </c>
      <c r="O51" s="354"/>
      <c r="P51" s="354">
        <f>P50/B49</f>
        <v>1.4788732394366197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1.1000000000000001</v>
      </c>
      <c r="H69" s="376">
        <v>0</v>
      </c>
      <c r="I69" s="377">
        <v>0</v>
      </c>
      <c r="J69" s="376">
        <f>SUM(C69:H69)</f>
        <v>2.75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J101"/>
  <sheetViews>
    <sheetView topLeftCell="A4" zoomScale="50" zoomScaleNormal="50" workbookViewId="0">
      <selection activeCell="A15" sqref="A15:XFD15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46028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23</v>
      </c>
      <c r="E3" s="508"/>
      <c r="F3" s="446" t="s">
        <v>198</v>
      </c>
      <c r="G3" s="447"/>
      <c r="H3" s="448" t="s">
        <v>47</v>
      </c>
      <c r="I3" s="447" t="s">
        <v>360</v>
      </c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34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44" t="s">
        <v>381</v>
      </c>
      <c r="M4" s="447"/>
      <c r="N4" s="444" t="s">
        <v>333</v>
      </c>
      <c r="O4" s="447"/>
      <c r="P4" s="444" t="s">
        <v>32</v>
      </c>
      <c r="Q4" s="447"/>
      <c r="R4" s="33" t="s">
        <v>300</v>
      </c>
      <c r="S4" s="34"/>
      <c r="T4" s="34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13</v>
      </c>
      <c r="C5" s="447" t="s">
        <v>39</v>
      </c>
      <c r="D5" s="444"/>
      <c r="E5" s="447"/>
      <c r="F5" s="444" t="s">
        <v>299</v>
      </c>
      <c r="G5" s="447"/>
      <c r="H5" s="444" t="s">
        <v>37</v>
      </c>
      <c r="I5" s="446"/>
      <c r="J5" s="444"/>
      <c r="K5" s="447"/>
      <c r="L5" s="451" t="s">
        <v>307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47">
        <v>0.5</v>
      </c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2.5</v>
      </c>
      <c r="D9" s="461"/>
      <c r="E9" s="460">
        <v>2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2</v>
      </c>
      <c r="L9" s="461">
        <v>3</v>
      </c>
      <c r="M9" s="460">
        <f>L9-M11</f>
        <v>3</v>
      </c>
      <c r="N9" s="463">
        <v>3</v>
      </c>
      <c r="O9" s="460">
        <f>N9-O11</f>
        <v>3</v>
      </c>
      <c r="P9" s="454">
        <v>3.5</v>
      </c>
      <c r="Q9" s="464">
        <f>P9-Q11</f>
        <v>2.8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365</v>
      </c>
      <c r="S11" s="548" t="s">
        <v>326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359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20" t="s">
        <v>328</v>
      </c>
      <c r="J12" s="521" t="s">
        <v>321</v>
      </c>
      <c r="K12" s="500" t="s">
        <v>213</v>
      </c>
      <c r="L12" s="528" t="s">
        <v>312</v>
      </c>
      <c r="M12" s="500" t="s">
        <v>213</v>
      </c>
      <c r="N12" s="522" t="s">
        <v>322</v>
      </c>
      <c r="O12" s="500" t="s">
        <v>383</v>
      </c>
      <c r="P12" s="530" t="s">
        <v>324</v>
      </c>
      <c r="Q12" s="524" t="s">
        <v>328</v>
      </c>
      <c r="R12" s="545" t="s">
        <v>190</v>
      </c>
      <c r="S12" s="545" t="s">
        <v>66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340</v>
      </c>
      <c r="C13" s="525" t="s">
        <v>74</v>
      </c>
      <c r="D13" s="542"/>
      <c r="E13" s="525"/>
      <c r="F13" s="550" t="s">
        <v>340</v>
      </c>
      <c r="G13" s="525" t="s">
        <v>36</v>
      </c>
      <c r="H13" s="550" t="s">
        <v>340</v>
      </c>
      <c r="I13" s="525" t="s">
        <v>87</v>
      </c>
      <c r="J13" s="550"/>
      <c r="K13" s="526"/>
      <c r="L13" s="550" t="s">
        <v>218</v>
      </c>
      <c r="M13" s="525" t="s">
        <v>87</v>
      </c>
      <c r="N13" s="543" t="s">
        <v>339</v>
      </c>
      <c r="O13" s="525" t="s">
        <v>39</v>
      </c>
      <c r="P13" s="542" t="s">
        <v>202</v>
      </c>
      <c r="Q13" s="525" t="s">
        <v>328</v>
      </c>
      <c r="R13" s="547" t="s">
        <v>75</v>
      </c>
      <c r="S13" s="545" t="s">
        <v>366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25"/>
      <c r="D14" s="542"/>
      <c r="E14" s="525"/>
      <c r="F14" s="550"/>
      <c r="G14" s="525"/>
      <c r="H14" s="511"/>
      <c r="I14" s="557"/>
      <c r="J14" s="550"/>
      <c r="K14" s="526"/>
      <c r="L14" s="550" t="s">
        <v>314</v>
      </c>
      <c r="M14" s="525" t="s">
        <v>386</v>
      </c>
      <c r="N14" s="550" t="s">
        <v>314</v>
      </c>
      <c r="O14" s="525" t="s">
        <v>78</v>
      </c>
      <c r="P14" s="523"/>
      <c r="Q14" s="525"/>
      <c r="R14" s="547" t="s">
        <v>62</v>
      </c>
      <c r="S14" s="548" t="s">
        <v>313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46"/>
      <c r="L15" s="550"/>
      <c r="M15" s="525"/>
      <c r="N15" s="485"/>
      <c r="O15" s="515"/>
      <c r="P15" s="468"/>
      <c r="Q15" s="482"/>
      <c r="R15" s="546" t="s">
        <v>367</v>
      </c>
      <c r="S15" s="545" t="s">
        <v>63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483"/>
      <c r="K16" s="512"/>
      <c r="L16" s="513"/>
      <c r="M16" s="512"/>
      <c r="N16" s="509"/>
      <c r="O16" s="516"/>
      <c r="P16" s="509"/>
      <c r="Q16" s="487"/>
      <c r="R16" s="549" t="s">
        <v>65</v>
      </c>
      <c r="S16" s="551" t="s">
        <v>262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 t="s">
        <v>314</v>
      </c>
      <c r="I17" s="491" t="s">
        <v>87</v>
      </c>
      <c r="J17" s="444"/>
      <c r="K17" s="446"/>
      <c r="L17" s="517"/>
      <c r="M17" s="491"/>
      <c r="N17" s="544"/>
      <c r="O17" s="491"/>
      <c r="P17" s="492" t="s">
        <v>54</v>
      </c>
      <c r="Q17" s="493">
        <v>0.4</v>
      </c>
      <c r="R17" s="605" t="s">
        <v>399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1.3341346153846152</v>
      </c>
      <c r="C18" s="495"/>
      <c r="D18" s="494">
        <f>D51</f>
        <v>1.0673076923076923</v>
      </c>
      <c r="E18" s="496"/>
      <c r="F18" s="494">
        <f>F51</f>
        <v>1.6009615384615383</v>
      </c>
      <c r="G18" s="495"/>
      <c r="H18" s="494">
        <f>H51</f>
        <v>1.3341346153846152</v>
      </c>
      <c r="I18" s="495"/>
      <c r="J18" s="497">
        <f>J51</f>
        <v>1.0673076923076923</v>
      </c>
      <c r="K18" s="495"/>
      <c r="L18" s="497">
        <f>L51</f>
        <v>1.6009615384615383</v>
      </c>
      <c r="M18" s="495"/>
      <c r="N18" s="494">
        <f>N51</f>
        <v>1.6009615384615383</v>
      </c>
      <c r="O18" s="496"/>
      <c r="P18" s="498">
        <f>P51</f>
        <v>1.494230769230769</v>
      </c>
      <c r="Q18" s="496">
        <f>P18+Q17</f>
        <v>1.8942307692307692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387</v>
      </c>
      <c r="G19" s="501" t="s">
        <v>388</v>
      </c>
      <c r="H19" s="506"/>
      <c r="I19" s="507"/>
      <c r="J19" s="499"/>
      <c r="K19" s="500"/>
      <c r="L19" s="502" t="s">
        <v>350</v>
      </c>
      <c r="M19" s="500" t="s">
        <v>392</v>
      </c>
      <c r="N19" s="506" t="s">
        <v>390</v>
      </c>
      <c r="O19" s="507" t="s">
        <v>391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4" t="s">
        <v>393</v>
      </c>
      <c r="G20" s="503" t="s">
        <v>394</v>
      </c>
      <c r="H20" s="506"/>
      <c r="I20" s="500"/>
      <c r="J20" s="499"/>
      <c r="K20" s="500"/>
      <c r="L20" s="502" t="s">
        <v>370</v>
      </c>
      <c r="M20" s="500" t="s">
        <v>389</v>
      </c>
      <c r="N20" s="499" t="s">
        <v>393</v>
      </c>
      <c r="O20" s="500" t="s">
        <v>395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 t="s">
        <v>396</v>
      </c>
      <c r="M21" s="500" t="s">
        <v>397</v>
      </c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-2.5</v>
      </c>
      <c r="C30" s="218"/>
      <c r="D30" s="219">
        <f>D44</f>
        <v>-5</v>
      </c>
      <c r="E30" s="220"/>
      <c r="F30" s="221">
        <f>F44</f>
        <v>9</v>
      </c>
      <c r="G30" s="221"/>
      <c r="H30" s="217">
        <f>H44</f>
        <v>-2.5</v>
      </c>
      <c r="I30" s="218"/>
      <c r="J30" s="217">
        <f>J44</f>
        <v>-22</v>
      </c>
      <c r="K30" s="222"/>
      <c r="L30" s="217">
        <f>L44</f>
        <v>15</v>
      </c>
      <c r="M30" s="222"/>
      <c r="N30" s="217">
        <f>N44</f>
        <v>10</v>
      </c>
      <c r="O30" s="222"/>
      <c r="P30" s="152">
        <f>P44</f>
        <v>-2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99</v>
      </c>
      <c r="D31" s="523" t="s">
        <v>25</v>
      </c>
      <c r="E31" s="532" t="s">
        <v>242</v>
      </c>
      <c r="F31" s="533"/>
      <c r="G31" s="534"/>
      <c r="H31" s="535"/>
      <c r="I31" s="534"/>
      <c r="J31" s="523" t="s">
        <v>14</v>
      </c>
      <c r="K31" s="532" t="s">
        <v>369</v>
      </c>
      <c r="L31" s="538"/>
      <c r="M31" s="534"/>
      <c r="N31" s="552" t="s">
        <v>337</v>
      </c>
      <c r="O31" s="554" t="s">
        <v>338</v>
      </c>
      <c r="P31" s="539" t="s">
        <v>332</v>
      </c>
      <c r="Q31" s="440" t="s">
        <v>368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520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20.8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</v>
      </c>
      <c r="K43" s="299"/>
      <c r="L43" s="278">
        <f>M9</f>
        <v>3</v>
      </c>
      <c r="M43" s="299"/>
      <c r="N43" s="278">
        <f>O9</f>
        <v>3</v>
      </c>
      <c r="O43" s="299"/>
      <c r="P43" s="311">
        <f>Q9</f>
        <v>2.8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-2.5</v>
      </c>
      <c r="C44" s="295"/>
      <c r="D44" s="318">
        <f>B40/B41*D43-D45</f>
        <v>-5</v>
      </c>
      <c r="E44" s="319"/>
      <c r="F44" s="318">
        <f>B40/B41*F43-F45</f>
        <v>9</v>
      </c>
      <c r="G44" s="320"/>
      <c r="H44" s="321">
        <f>B40/B41*H43-H45</f>
        <v>-2.5</v>
      </c>
      <c r="I44" s="322"/>
      <c r="J44" s="321">
        <f>B40/B41*J43-J45</f>
        <v>-22</v>
      </c>
      <c r="K44" s="322"/>
      <c r="L44" s="321">
        <f>B40/B41*L43-L45</f>
        <v>15</v>
      </c>
      <c r="M44" s="322"/>
      <c r="N44" s="321">
        <f>B40/B41*N43-N45</f>
        <v>10</v>
      </c>
      <c r="O44" s="322"/>
      <c r="P44" s="311">
        <f>B40/B41*P43-P45</f>
        <v>-2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55</v>
      </c>
      <c r="E45" s="130"/>
      <c r="F45" s="318">
        <v>66</v>
      </c>
      <c r="G45" s="320"/>
      <c r="H45" s="332">
        <v>65</v>
      </c>
      <c r="J45" s="321">
        <v>72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 t="s">
        <v>362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46.846846846846852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62.5</v>
      </c>
      <c r="C50" s="354"/>
      <c r="D50" s="354">
        <f>B42*D43</f>
        <v>50</v>
      </c>
      <c r="E50" s="354"/>
      <c r="F50" s="354">
        <f>B42*F43</f>
        <v>75</v>
      </c>
      <c r="G50" s="354"/>
      <c r="H50" s="359">
        <f>B42*H43</f>
        <v>62.5</v>
      </c>
      <c r="I50" s="354"/>
      <c r="J50" s="354">
        <f>B42*J43</f>
        <v>50</v>
      </c>
      <c r="K50" s="354"/>
      <c r="L50" s="354">
        <f>B42*L43</f>
        <v>75</v>
      </c>
      <c r="M50" s="354"/>
      <c r="N50" s="359">
        <f>B42*N43</f>
        <v>75</v>
      </c>
      <c r="O50" s="354"/>
      <c r="P50" s="354">
        <f>B42*P43</f>
        <v>70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1.3341346153846152</v>
      </c>
      <c r="C51" s="354"/>
      <c r="D51" s="354">
        <f>D50/B49</f>
        <v>1.0673076923076923</v>
      </c>
      <c r="E51" s="354"/>
      <c r="F51" s="354">
        <f>F50/B49</f>
        <v>1.6009615384615383</v>
      </c>
      <c r="G51" s="354"/>
      <c r="H51" s="354">
        <f>H50/B49</f>
        <v>1.3341346153846152</v>
      </c>
      <c r="I51" s="354"/>
      <c r="J51" s="354">
        <f>J50/B49</f>
        <v>1.0673076923076923</v>
      </c>
      <c r="K51" s="354"/>
      <c r="L51" s="354">
        <f>L50/B49</f>
        <v>1.6009615384615383</v>
      </c>
      <c r="M51" s="354"/>
      <c r="N51" s="359">
        <f>N50/B49</f>
        <v>1.6009615384615383</v>
      </c>
      <c r="O51" s="354"/>
      <c r="P51" s="354">
        <f>P50/B49</f>
        <v>1.494230769230769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1.5</v>
      </c>
      <c r="H69" s="376">
        <v>0</v>
      </c>
      <c r="I69" s="377">
        <v>0</v>
      </c>
      <c r="J69" s="376">
        <f>SUM(C69:H69)</f>
        <v>2.9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101"/>
  <sheetViews>
    <sheetView zoomScale="20" zoomScaleNormal="20" workbookViewId="0">
      <selection activeCell="S14" sqref="S1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46029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23</v>
      </c>
      <c r="E3" s="508"/>
      <c r="F3" s="446" t="s">
        <v>198</v>
      </c>
      <c r="G3" s="447"/>
      <c r="H3" s="448" t="s">
        <v>47</v>
      </c>
      <c r="I3" s="447" t="s">
        <v>360</v>
      </c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34</v>
      </c>
      <c r="E4" s="447"/>
      <c r="F4" s="444" t="s">
        <v>298</v>
      </c>
      <c r="G4" s="447"/>
      <c r="H4" s="444" t="s">
        <v>301</v>
      </c>
      <c r="I4" s="447" t="s">
        <v>39</v>
      </c>
      <c r="J4" s="444" t="s">
        <v>26</v>
      </c>
      <c r="K4" s="450"/>
      <c r="L4" s="444" t="s">
        <v>381</v>
      </c>
      <c r="M4" s="447"/>
      <c r="N4" s="444" t="s">
        <v>333</v>
      </c>
      <c r="O4" s="447"/>
      <c r="P4" s="444" t="s">
        <v>32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/>
      <c r="C5" s="447"/>
      <c r="D5" s="444"/>
      <c r="E5" s="447"/>
      <c r="F5" s="444" t="s">
        <v>299</v>
      </c>
      <c r="G5" s="447"/>
      <c r="H5" s="444" t="s">
        <v>37</v>
      </c>
      <c r="I5" s="446"/>
      <c r="J5" s="444" t="s">
        <v>14</v>
      </c>
      <c r="K5" s="447"/>
      <c r="L5" s="451" t="s">
        <v>307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87">
        <v>0.5</v>
      </c>
      <c r="R6" s="620" t="s">
        <v>384</v>
      </c>
      <c r="S6" s="620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</v>
      </c>
      <c r="D9" s="461"/>
      <c r="E9" s="460">
        <v>2</v>
      </c>
      <c r="F9" s="461"/>
      <c r="G9" s="460">
        <v>3</v>
      </c>
      <c r="H9" s="462">
        <v>2</v>
      </c>
      <c r="I9" s="460">
        <f>H9-I11</f>
        <v>2</v>
      </c>
      <c r="J9" s="461"/>
      <c r="K9" s="460">
        <v>3</v>
      </c>
      <c r="L9" s="461">
        <v>3</v>
      </c>
      <c r="M9" s="460">
        <f>L9-M11</f>
        <v>3</v>
      </c>
      <c r="N9" s="463">
        <v>3</v>
      </c>
      <c r="O9" s="460">
        <f>N9-O11</f>
        <v>3</v>
      </c>
      <c r="P9" s="454">
        <v>3.5</v>
      </c>
      <c r="Q9" s="464">
        <f>P9-Q11</f>
        <v>2.8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58" t="s">
        <v>401</v>
      </c>
      <c r="S11" s="559" t="s">
        <v>326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20" t="s">
        <v>328</v>
      </c>
      <c r="J12" s="521" t="s">
        <v>321</v>
      </c>
      <c r="K12" s="500" t="s">
        <v>213</v>
      </c>
      <c r="L12" s="528" t="s">
        <v>312</v>
      </c>
      <c r="M12" s="500" t="s">
        <v>407</v>
      </c>
      <c r="N12" s="522" t="s">
        <v>322</v>
      </c>
      <c r="O12" s="500" t="s">
        <v>213</v>
      </c>
      <c r="P12" s="530" t="s">
        <v>324</v>
      </c>
      <c r="Q12" s="524" t="s">
        <v>328</v>
      </c>
      <c r="R12" s="558" t="s">
        <v>190</v>
      </c>
      <c r="S12" s="558" t="s">
        <v>66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/>
      <c r="C13" s="526"/>
      <c r="D13" s="550"/>
      <c r="E13" s="525"/>
      <c r="F13" s="550" t="s">
        <v>359</v>
      </c>
      <c r="G13" s="525" t="s">
        <v>36</v>
      </c>
      <c r="H13" s="550"/>
      <c r="I13" s="525"/>
      <c r="J13" s="550" t="s">
        <v>314</v>
      </c>
      <c r="K13" s="525" t="s">
        <v>74</v>
      </c>
      <c r="L13" s="550" t="s">
        <v>359</v>
      </c>
      <c r="M13" s="525" t="s">
        <v>39</v>
      </c>
      <c r="N13" s="543" t="s">
        <v>339</v>
      </c>
      <c r="O13" s="525" t="s">
        <v>70</v>
      </c>
      <c r="P13" s="542" t="s">
        <v>202</v>
      </c>
      <c r="Q13" s="525" t="s">
        <v>328</v>
      </c>
      <c r="R13" s="561" t="s">
        <v>75</v>
      </c>
      <c r="S13" s="558" t="s">
        <v>358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25"/>
      <c r="D14" s="542"/>
      <c r="E14" s="525"/>
      <c r="F14" s="550" t="s">
        <v>218</v>
      </c>
      <c r="G14" s="525" t="s">
        <v>87</v>
      </c>
      <c r="H14" s="511"/>
      <c r="I14" s="557"/>
      <c r="J14" s="543" t="s">
        <v>339</v>
      </c>
      <c r="K14" s="526" t="s">
        <v>72</v>
      </c>
      <c r="L14" s="562" t="s">
        <v>314</v>
      </c>
      <c r="M14" s="563" t="s">
        <v>72</v>
      </c>
      <c r="N14" s="550"/>
      <c r="O14" s="525"/>
      <c r="P14" s="523"/>
      <c r="Q14" s="525"/>
      <c r="R14" s="561" t="s">
        <v>62</v>
      </c>
      <c r="S14" s="548" t="s">
        <v>400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562" t="s">
        <v>314</v>
      </c>
      <c r="K15" s="564" t="s">
        <v>78</v>
      </c>
      <c r="L15" s="550"/>
      <c r="M15" s="525"/>
      <c r="N15" s="550"/>
      <c r="O15" s="525"/>
      <c r="P15" s="468"/>
      <c r="Q15" s="482"/>
      <c r="R15" s="561" t="s">
        <v>82</v>
      </c>
      <c r="S15" s="558" t="s">
        <v>63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483"/>
      <c r="K16" s="512"/>
      <c r="L16" s="513"/>
      <c r="M16" s="512"/>
      <c r="N16" s="509"/>
      <c r="O16" s="516"/>
      <c r="P16" s="509"/>
      <c r="Q16" s="487"/>
      <c r="R16" s="560" t="s">
        <v>65</v>
      </c>
      <c r="S16" s="551" t="s">
        <v>406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 t="s">
        <v>314</v>
      </c>
      <c r="I17" s="491" t="s">
        <v>87</v>
      </c>
      <c r="J17" s="444"/>
      <c r="K17" s="446"/>
      <c r="L17" s="517"/>
      <c r="M17" s="491"/>
      <c r="N17" s="544"/>
      <c r="O17" s="491"/>
      <c r="P17" s="492" t="s">
        <v>54</v>
      </c>
      <c r="Q17" s="493">
        <v>0.4</v>
      </c>
      <c r="R17" s="605" t="s">
        <v>399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1.0961538461538463</v>
      </c>
      <c r="C18" s="495"/>
      <c r="D18" s="494">
        <f>D51</f>
        <v>1.0961538461538463</v>
      </c>
      <c r="E18" s="496"/>
      <c r="F18" s="494">
        <f>F51</f>
        <v>1.6442307692307694</v>
      </c>
      <c r="G18" s="495"/>
      <c r="H18" s="494">
        <f>H51</f>
        <v>1.0961538461538463</v>
      </c>
      <c r="I18" s="495"/>
      <c r="J18" s="497">
        <f>J51</f>
        <v>1.6442307692307694</v>
      </c>
      <c r="K18" s="495"/>
      <c r="L18" s="497">
        <f>L51</f>
        <v>1.6442307692307694</v>
      </c>
      <c r="M18" s="495"/>
      <c r="N18" s="494">
        <f>N51</f>
        <v>1.6442307692307694</v>
      </c>
      <c r="O18" s="496"/>
      <c r="P18" s="498">
        <f>P51</f>
        <v>1.5346153846153847</v>
      </c>
      <c r="Q18" s="496">
        <f>P18+Q17</f>
        <v>1.9346153846153848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344</v>
      </c>
      <c r="G19" s="501" t="s">
        <v>412</v>
      </c>
      <c r="H19" s="506"/>
      <c r="I19" s="507"/>
      <c r="J19" s="499" t="s">
        <v>390</v>
      </c>
      <c r="K19" s="500" t="s">
        <v>411</v>
      </c>
      <c r="L19" s="502" t="s">
        <v>348</v>
      </c>
      <c r="M19" s="500" t="s">
        <v>413</v>
      </c>
      <c r="N19" s="506" t="s">
        <v>346</v>
      </c>
      <c r="O19" s="507" t="s">
        <v>408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499" t="s">
        <v>409</v>
      </c>
      <c r="G20" s="503" t="s">
        <v>410</v>
      </c>
      <c r="H20" s="506"/>
      <c r="I20" s="500"/>
      <c r="J20" s="499" t="s">
        <v>370</v>
      </c>
      <c r="K20" s="500" t="s">
        <v>389</v>
      </c>
      <c r="L20" s="502" t="s">
        <v>350</v>
      </c>
      <c r="M20" s="500" t="s">
        <v>414</v>
      </c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-14.903846153846153</v>
      </c>
      <c r="C30" s="218"/>
      <c r="D30" s="219">
        <f>D44</f>
        <v>-5.9038461538461533</v>
      </c>
      <c r="E30" s="220"/>
      <c r="F30" s="221">
        <f>F44</f>
        <v>9.1442307692307736</v>
      </c>
      <c r="G30" s="221"/>
      <c r="H30" s="217">
        <f>H44</f>
        <v>-14.903846153846153</v>
      </c>
      <c r="I30" s="218"/>
      <c r="J30" s="217">
        <f>J44</f>
        <v>3.1442307692307736</v>
      </c>
      <c r="K30" s="222"/>
      <c r="L30" s="217">
        <f>L44</f>
        <v>15.144230769230774</v>
      </c>
      <c r="M30" s="222"/>
      <c r="N30" s="217">
        <f>N44</f>
        <v>10.144230769230774</v>
      </c>
      <c r="O30" s="222"/>
      <c r="P30" s="152">
        <f>P44</f>
        <v>-1.8653846153846132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99</v>
      </c>
      <c r="D31" s="523" t="s">
        <v>25</v>
      </c>
      <c r="E31" s="532" t="s">
        <v>242</v>
      </c>
      <c r="F31" s="533"/>
      <c r="G31" s="534"/>
      <c r="H31" s="535" t="s">
        <v>301</v>
      </c>
      <c r="I31" s="532" t="s">
        <v>385</v>
      </c>
      <c r="J31" s="523"/>
      <c r="K31" s="532"/>
      <c r="L31" s="538"/>
      <c r="M31" s="534"/>
      <c r="N31" s="552" t="s">
        <v>337</v>
      </c>
      <c r="O31" s="554" t="s">
        <v>338</v>
      </c>
      <c r="P31" s="539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521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20.8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25.048076923076923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3</v>
      </c>
      <c r="M43" s="299"/>
      <c r="N43" s="278">
        <f>O9</f>
        <v>3</v>
      </c>
      <c r="O43" s="299"/>
      <c r="P43" s="311">
        <f>Q9</f>
        <v>2.8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-14.903846153846153</v>
      </c>
      <c r="C44" s="295"/>
      <c r="D44" s="318">
        <f>B40/B41*D43-D45</f>
        <v>-5.9038461538461533</v>
      </c>
      <c r="E44" s="319"/>
      <c r="F44" s="318">
        <f>B40/B41*F43-F45</f>
        <v>9.1442307692307736</v>
      </c>
      <c r="G44" s="320"/>
      <c r="H44" s="321">
        <f>B40/B41*H43-H45</f>
        <v>-14.903846153846153</v>
      </c>
      <c r="I44" s="322"/>
      <c r="J44" s="321">
        <f>B40/B41*J43-J45</f>
        <v>3.1442307692307736</v>
      </c>
      <c r="K44" s="322"/>
      <c r="L44" s="321">
        <f>B40/B41*L43-L45</f>
        <v>15.144230769230774</v>
      </c>
      <c r="M44" s="322"/>
      <c r="N44" s="321">
        <f>B40/B41*N43-N45</f>
        <v>10.144230769230774</v>
      </c>
      <c r="O44" s="322"/>
      <c r="P44" s="311">
        <f>B40/B41*P43-P45</f>
        <v>-1.8653846153846132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72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 t="s">
        <v>402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11.4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45.701754385964911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50.096153846153847</v>
      </c>
      <c r="C50" s="354"/>
      <c r="D50" s="354">
        <f>B42*D43</f>
        <v>50.096153846153847</v>
      </c>
      <c r="E50" s="354"/>
      <c r="F50" s="354">
        <f>B42*F43</f>
        <v>75.144230769230774</v>
      </c>
      <c r="G50" s="354"/>
      <c r="H50" s="359">
        <f>B42*H43</f>
        <v>50.096153846153847</v>
      </c>
      <c r="I50" s="354"/>
      <c r="J50" s="354">
        <f>B42*J43</f>
        <v>75.144230769230774</v>
      </c>
      <c r="K50" s="354"/>
      <c r="L50" s="354">
        <f>B42*L43</f>
        <v>75.144230769230774</v>
      </c>
      <c r="M50" s="354"/>
      <c r="N50" s="359">
        <f>B42*N43</f>
        <v>75.144230769230774</v>
      </c>
      <c r="O50" s="354"/>
      <c r="P50" s="354">
        <f>B42*P43</f>
        <v>70.134615384615387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1.0961538461538463</v>
      </c>
      <c r="C51" s="354"/>
      <c r="D51" s="354">
        <f>D50/B49</f>
        <v>1.0961538461538463</v>
      </c>
      <c r="E51" s="354"/>
      <c r="F51" s="354">
        <f>F50/B49</f>
        <v>1.6442307692307694</v>
      </c>
      <c r="G51" s="354"/>
      <c r="H51" s="354">
        <f>H50/B49</f>
        <v>1.0961538461538463</v>
      </c>
      <c r="I51" s="354"/>
      <c r="J51" s="354">
        <f>J50/B49</f>
        <v>1.6442307692307694</v>
      </c>
      <c r="K51" s="354"/>
      <c r="L51" s="354">
        <f>L50/B49</f>
        <v>1.6442307692307694</v>
      </c>
      <c r="M51" s="354"/>
      <c r="N51" s="359">
        <f>N50/B49</f>
        <v>1.6442307692307694</v>
      </c>
      <c r="O51" s="354"/>
      <c r="P51" s="354">
        <f>P50/B49</f>
        <v>1.5346153846153847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1.2</v>
      </c>
      <c r="H69" s="376">
        <v>0</v>
      </c>
      <c r="I69" s="377">
        <v>0</v>
      </c>
      <c r="J69" s="376">
        <f>SUM(C69:H69)</f>
        <v>2.5999999999999996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V40:Y41"/>
    <mergeCell ref="R6:S6"/>
    <mergeCell ref="R3:U3"/>
    <mergeCell ref="R17:U18"/>
    <mergeCell ref="R19:U19"/>
    <mergeCell ref="S21:U21"/>
    <mergeCell ref="R22:U23"/>
    <mergeCell ref="T4:T5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101"/>
  <sheetViews>
    <sheetView zoomScale="20" zoomScaleNormal="20" workbookViewId="0">
      <selection activeCell="J21" sqref="J21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46030</v>
      </c>
      <c r="E1" s="3" t="str">
        <f>TEXT(D1, "dddd")</f>
        <v>Thursday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23</v>
      </c>
      <c r="E3" s="508"/>
      <c r="F3" s="446" t="s">
        <v>198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34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44" t="s">
        <v>381</v>
      </c>
      <c r="M4" s="447"/>
      <c r="N4" s="444" t="s">
        <v>333</v>
      </c>
      <c r="O4" s="447"/>
      <c r="P4" s="444" t="s">
        <v>32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13</v>
      </c>
      <c r="C5" s="447" t="s">
        <v>39</v>
      </c>
      <c r="D5" s="444"/>
      <c r="E5" s="447"/>
      <c r="F5" s="444" t="s">
        <v>299</v>
      </c>
      <c r="G5" s="447"/>
      <c r="H5" s="444"/>
      <c r="I5" s="446"/>
      <c r="J5" s="444" t="s">
        <v>14</v>
      </c>
      <c r="K5" s="447"/>
      <c r="L5" s="451" t="s">
        <v>307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87">
        <v>0.5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2.5</v>
      </c>
      <c r="D9" s="461"/>
      <c r="E9" s="460">
        <v>2</v>
      </c>
      <c r="F9" s="461"/>
      <c r="G9" s="460">
        <v>3</v>
      </c>
      <c r="H9" s="462">
        <v>2</v>
      </c>
      <c r="I9" s="460">
        <f>H9-I11</f>
        <v>2</v>
      </c>
      <c r="J9" s="461"/>
      <c r="K9" s="460">
        <v>3</v>
      </c>
      <c r="L9" s="461">
        <v>3</v>
      </c>
      <c r="M9" s="460">
        <f>L9-M11</f>
        <v>2.75</v>
      </c>
      <c r="N9" s="463">
        <v>3</v>
      </c>
      <c r="O9" s="460">
        <f>N9-O11</f>
        <v>3</v>
      </c>
      <c r="P9" s="454">
        <v>3.5</v>
      </c>
      <c r="Q9" s="464">
        <f>P9-Q11</f>
        <v>2.8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0.25</v>
      </c>
      <c r="N11" s="478" t="s">
        <v>53</v>
      </c>
      <c r="O11" s="479">
        <v>0</v>
      </c>
      <c r="P11" s="477" t="s">
        <v>54</v>
      </c>
      <c r="Q11" s="481">
        <v>0.7</v>
      </c>
      <c r="R11" s="558" t="s">
        <v>401</v>
      </c>
      <c r="S11" s="559" t="s">
        <v>326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00" t="s">
        <v>415</v>
      </c>
      <c r="J12" s="521" t="s">
        <v>321</v>
      </c>
      <c r="K12" s="500" t="s">
        <v>415</v>
      </c>
      <c r="L12" s="528" t="s">
        <v>312</v>
      </c>
      <c r="M12" s="500" t="s">
        <v>213</v>
      </c>
      <c r="N12" s="522" t="s">
        <v>322</v>
      </c>
      <c r="O12" s="500" t="s">
        <v>213</v>
      </c>
      <c r="P12" s="530" t="s">
        <v>324</v>
      </c>
      <c r="Q12" s="524" t="s">
        <v>328</v>
      </c>
      <c r="R12" s="558" t="s">
        <v>190</v>
      </c>
      <c r="S12" s="558" t="s">
        <v>66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359</v>
      </c>
      <c r="C13" s="526" t="s">
        <v>39</v>
      </c>
      <c r="D13" s="550"/>
      <c r="E13" s="525"/>
      <c r="F13" s="543" t="s">
        <v>339</v>
      </c>
      <c r="G13" s="525" t="s">
        <v>72</v>
      </c>
      <c r="H13" s="550" t="s">
        <v>359</v>
      </c>
      <c r="I13" s="525" t="s">
        <v>78</v>
      </c>
      <c r="J13" s="550" t="s">
        <v>314</v>
      </c>
      <c r="K13" s="526" t="s">
        <v>78</v>
      </c>
      <c r="L13" s="550" t="s">
        <v>314</v>
      </c>
      <c r="M13" s="525" t="s">
        <v>194</v>
      </c>
      <c r="N13" s="543" t="s">
        <v>339</v>
      </c>
      <c r="O13" s="525" t="s">
        <v>70</v>
      </c>
      <c r="P13" s="542" t="s">
        <v>202</v>
      </c>
      <c r="Q13" s="525" t="s">
        <v>203</v>
      </c>
      <c r="R13" s="561" t="s">
        <v>75</v>
      </c>
      <c r="S13" s="558" t="s">
        <v>358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25"/>
      <c r="D14" s="550"/>
      <c r="E14" s="525"/>
      <c r="F14" s="550" t="s">
        <v>205</v>
      </c>
      <c r="G14" s="525" t="s">
        <v>72</v>
      </c>
      <c r="H14" s="550"/>
      <c r="I14" s="525"/>
      <c r="J14" s="542" t="s">
        <v>202</v>
      </c>
      <c r="K14" s="525" t="s">
        <v>78</v>
      </c>
      <c r="L14" s="543"/>
      <c r="M14" s="526"/>
      <c r="N14" s="550"/>
      <c r="O14" s="525"/>
      <c r="P14" s="550" t="s">
        <v>359</v>
      </c>
      <c r="Q14" s="525" t="s">
        <v>72</v>
      </c>
      <c r="R14" s="547" t="s">
        <v>403</v>
      </c>
      <c r="S14" s="558" t="s">
        <v>212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550" t="s">
        <v>218</v>
      </c>
      <c r="K15" s="525" t="s">
        <v>87</v>
      </c>
      <c r="L15" s="543"/>
      <c r="M15" s="526"/>
      <c r="N15" s="550"/>
      <c r="O15" s="525"/>
      <c r="P15" s="468"/>
      <c r="Q15" s="482"/>
      <c r="R15" s="561" t="s">
        <v>82</v>
      </c>
      <c r="S15" s="545" t="s">
        <v>404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525"/>
      <c r="L16" s="513"/>
      <c r="M16" s="512"/>
      <c r="N16" s="509"/>
      <c r="O16" s="516"/>
      <c r="P16" s="509"/>
      <c r="Q16" s="487"/>
      <c r="R16" s="560" t="s">
        <v>65</v>
      </c>
      <c r="S16" s="551" t="s">
        <v>418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78</v>
      </c>
      <c r="H17" s="544" t="s">
        <v>314</v>
      </c>
      <c r="I17" s="491" t="s">
        <v>74</v>
      </c>
      <c r="J17" s="444"/>
      <c r="K17" s="446"/>
      <c r="L17" s="517"/>
      <c r="M17" s="491"/>
      <c r="N17" s="544"/>
      <c r="O17" s="491"/>
      <c r="P17" s="492" t="s">
        <v>54</v>
      </c>
      <c r="Q17" s="493">
        <v>0.4</v>
      </c>
      <c r="R17" s="605" t="s">
        <v>416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1.347980997624703</v>
      </c>
      <c r="C18" s="495"/>
      <c r="D18" s="494">
        <f>D51</f>
        <v>1.0783847980997623</v>
      </c>
      <c r="E18" s="496"/>
      <c r="F18" s="494">
        <f>F51</f>
        <v>1.6175771971496433</v>
      </c>
      <c r="G18" s="495"/>
      <c r="H18" s="494">
        <f>H51</f>
        <v>1.0783847980997623</v>
      </c>
      <c r="I18" s="495"/>
      <c r="J18" s="497">
        <f>J51</f>
        <v>1.6175771971496433</v>
      </c>
      <c r="K18" s="495"/>
      <c r="L18" s="497">
        <f>L51</f>
        <v>1.4827790973871733</v>
      </c>
      <c r="M18" s="495"/>
      <c r="N18" s="494">
        <f>N51</f>
        <v>1.6175771971496433</v>
      </c>
      <c r="O18" s="496"/>
      <c r="P18" s="498">
        <f>P51</f>
        <v>1.5097387173396672</v>
      </c>
      <c r="Q18" s="496">
        <f>P18+Q17</f>
        <v>1.9097387173396672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422</v>
      </c>
      <c r="G19" s="501" t="s">
        <v>424</v>
      </c>
      <c r="H19" s="506"/>
      <c r="I19" s="507"/>
      <c r="J19" s="499" t="s">
        <v>390</v>
      </c>
      <c r="K19" s="500" t="s">
        <v>420</v>
      </c>
      <c r="L19" s="502" t="s">
        <v>422</v>
      </c>
      <c r="M19" s="500" t="s">
        <v>423</v>
      </c>
      <c r="N19" s="506" t="s">
        <v>373</v>
      </c>
      <c r="O19" s="507" t="s">
        <v>421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5" t="s">
        <v>425</v>
      </c>
      <c r="G20" s="503" t="s">
        <v>427</v>
      </c>
      <c r="H20" s="506"/>
      <c r="I20" s="500"/>
      <c r="J20" s="499"/>
      <c r="K20" s="500"/>
      <c r="L20" s="502" t="s">
        <v>350</v>
      </c>
      <c r="M20" s="500" t="s">
        <v>426</v>
      </c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-1.9358669833729252</v>
      </c>
      <c r="C30" s="218"/>
      <c r="D30" s="219">
        <f>D44</f>
        <v>-15.548693586698342</v>
      </c>
      <c r="E30" s="220"/>
      <c r="F30" s="221">
        <f>F44</f>
        <v>9.6769596199524841</v>
      </c>
      <c r="G30" s="221"/>
      <c r="H30" s="217">
        <f>H44</f>
        <v>-14.548693586698342</v>
      </c>
      <c r="I30" s="218"/>
      <c r="J30" s="217">
        <f>J44</f>
        <v>3.6769596199524841</v>
      </c>
      <c r="K30" s="222"/>
      <c r="L30" s="217">
        <f>L44</f>
        <v>9.370546318289783</v>
      </c>
      <c r="M30" s="222"/>
      <c r="N30" s="217">
        <f>N44</f>
        <v>10.676959619952484</v>
      </c>
      <c r="O30" s="222"/>
      <c r="P30" s="152">
        <f>P44</f>
        <v>-1.3681710213776768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99</v>
      </c>
      <c r="D31" s="523" t="s">
        <v>25</v>
      </c>
      <c r="E31" s="532" t="s">
        <v>242</v>
      </c>
      <c r="F31" s="533"/>
      <c r="G31" s="534"/>
      <c r="H31" s="448" t="s">
        <v>47</v>
      </c>
      <c r="I31" s="532" t="s">
        <v>238</v>
      </c>
      <c r="J31" s="523"/>
      <c r="K31" s="532"/>
      <c r="L31" s="538"/>
      <c r="M31" s="534"/>
      <c r="N31" s="552" t="s">
        <v>337</v>
      </c>
      <c r="O31" s="554" t="s">
        <v>338</v>
      </c>
      <c r="P31" s="539" t="s">
        <v>28</v>
      </c>
      <c r="Q31" s="440" t="s">
        <v>405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531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21.05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25.225653206650829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2.75</v>
      </c>
      <c r="M43" s="299"/>
      <c r="N43" s="278">
        <f>O9</f>
        <v>3</v>
      </c>
      <c r="O43" s="299"/>
      <c r="P43" s="311">
        <f>Q9</f>
        <v>2.8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-1.9358669833729252</v>
      </c>
      <c r="C44" s="295"/>
      <c r="D44" s="318">
        <f>B40/B41*D43-D45</f>
        <v>-15.548693586698342</v>
      </c>
      <c r="E44" s="319"/>
      <c r="F44" s="318">
        <f>B40/B41*F43-F45</f>
        <v>9.6769596199524841</v>
      </c>
      <c r="G44" s="320"/>
      <c r="H44" s="321">
        <f>B40/B41*H43-H45</f>
        <v>-14.548693586698342</v>
      </c>
      <c r="I44" s="322"/>
      <c r="J44" s="321">
        <f>B40/B41*J43-J45</f>
        <v>3.6769596199524841</v>
      </c>
      <c r="K44" s="322"/>
      <c r="L44" s="321">
        <f>B40/B41*L43-L45</f>
        <v>9.370546318289783</v>
      </c>
      <c r="M44" s="322"/>
      <c r="N44" s="321">
        <f>B40/B41*N43-N45</f>
        <v>10.676959619952484</v>
      </c>
      <c r="O44" s="322"/>
      <c r="P44" s="311">
        <f>B40/B41*P43-P45</f>
        <v>-1.3681710213776768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72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46.784140969162998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63.064133016627075</v>
      </c>
      <c r="C50" s="354"/>
      <c r="D50" s="354">
        <f>B42*D43</f>
        <v>50.451306413301658</v>
      </c>
      <c r="E50" s="354"/>
      <c r="F50" s="354">
        <f>B42*F43</f>
        <v>75.676959619952484</v>
      </c>
      <c r="G50" s="354"/>
      <c r="H50" s="359">
        <f>B42*H43</f>
        <v>50.451306413301658</v>
      </c>
      <c r="I50" s="354"/>
      <c r="J50" s="354">
        <f>B42*J43</f>
        <v>75.676959619952484</v>
      </c>
      <c r="K50" s="354"/>
      <c r="L50" s="354">
        <f>B42*L43</f>
        <v>69.370546318289783</v>
      </c>
      <c r="M50" s="354"/>
      <c r="N50" s="359">
        <f>B42*N43</f>
        <v>75.676959619952484</v>
      </c>
      <c r="O50" s="354"/>
      <c r="P50" s="354">
        <f>B42*P43</f>
        <v>70.631828978622323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1.347980997624703</v>
      </c>
      <c r="C51" s="354"/>
      <c r="D51" s="354">
        <f>D50/B49</f>
        <v>1.0783847980997623</v>
      </c>
      <c r="E51" s="354"/>
      <c r="F51" s="354">
        <f>F50/B49</f>
        <v>1.6175771971496433</v>
      </c>
      <c r="G51" s="354"/>
      <c r="H51" s="354">
        <f>H50/B49</f>
        <v>1.0783847980997623</v>
      </c>
      <c r="I51" s="354"/>
      <c r="J51" s="354">
        <f>J50/B49</f>
        <v>1.6175771971496433</v>
      </c>
      <c r="K51" s="354"/>
      <c r="L51" s="354">
        <f>L50/B49</f>
        <v>1.4827790973871733</v>
      </c>
      <c r="M51" s="354"/>
      <c r="N51" s="359">
        <f>N50/B49</f>
        <v>1.6175771971496433</v>
      </c>
      <c r="O51" s="354"/>
      <c r="P51" s="354">
        <f>P50/B49</f>
        <v>1.5097387173396672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1.5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101"/>
  <sheetViews>
    <sheetView zoomScale="30" zoomScaleNormal="30" workbookViewId="0">
      <selection activeCell="Q20" sqref="Q20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46031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23</v>
      </c>
      <c r="E3" s="508"/>
      <c r="F3" s="446" t="s">
        <v>198</v>
      </c>
      <c r="G3" s="447"/>
      <c r="H3" s="444" t="s">
        <v>430</v>
      </c>
      <c r="I3" s="447" t="s">
        <v>429</v>
      </c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28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13</v>
      </c>
      <c r="C4" s="447" t="s">
        <v>39</v>
      </c>
      <c r="D4" s="444" t="s">
        <v>34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44" t="s">
        <v>381</v>
      </c>
      <c r="M4" s="447"/>
      <c r="N4" s="444" t="s">
        <v>333</v>
      </c>
      <c r="O4" s="447"/>
      <c r="P4" s="444" t="s">
        <v>32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/>
      <c r="C5" s="447"/>
      <c r="D5" s="444"/>
      <c r="E5" s="447"/>
      <c r="F5" s="444" t="s">
        <v>299</v>
      </c>
      <c r="G5" s="447"/>
      <c r="H5" s="444" t="s">
        <v>37</v>
      </c>
      <c r="I5" s="446"/>
      <c r="J5" s="444" t="s">
        <v>14</v>
      </c>
      <c r="K5" s="447"/>
      <c r="L5" s="451" t="s">
        <v>307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87">
        <v>0.5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53"/>
      <c r="Q7" s="449"/>
      <c r="R7" s="565" t="s">
        <v>431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1.5</v>
      </c>
      <c r="D9" s="461"/>
      <c r="E9" s="460">
        <v>2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3</v>
      </c>
      <c r="L9" s="461">
        <v>3</v>
      </c>
      <c r="M9" s="460">
        <f>L9-M11</f>
        <v>2.6</v>
      </c>
      <c r="N9" s="463">
        <v>3</v>
      </c>
      <c r="O9" s="460">
        <f>N9-O11</f>
        <v>3</v>
      </c>
      <c r="P9" s="454">
        <v>3.5</v>
      </c>
      <c r="Q9" s="464">
        <f>P9-Q11</f>
        <v>2.8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0.4</v>
      </c>
      <c r="N11" s="478" t="s">
        <v>53</v>
      </c>
      <c r="O11" s="479">
        <v>0</v>
      </c>
      <c r="P11" s="477" t="s">
        <v>54</v>
      </c>
      <c r="Q11" s="481">
        <v>0.7</v>
      </c>
      <c r="R11" s="558" t="s">
        <v>401</v>
      </c>
      <c r="S11" s="559" t="s">
        <v>326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00" t="s">
        <v>328</v>
      </c>
      <c r="J12" s="521" t="s">
        <v>321</v>
      </c>
      <c r="K12" s="500" t="s">
        <v>328</v>
      </c>
      <c r="L12" s="528" t="s">
        <v>312</v>
      </c>
      <c r="M12" s="500" t="s">
        <v>213</v>
      </c>
      <c r="N12" s="522" t="s">
        <v>322</v>
      </c>
      <c r="O12" s="500" t="s">
        <v>213</v>
      </c>
      <c r="P12" s="530" t="s">
        <v>324</v>
      </c>
      <c r="Q12" s="524" t="s">
        <v>225</v>
      </c>
      <c r="R12" s="558" t="s">
        <v>190</v>
      </c>
      <c r="S12" s="558" t="s">
        <v>66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/>
      <c r="C13" s="525"/>
      <c r="D13" s="550"/>
      <c r="E13" s="525"/>
      <c r="F13" s="550" t="s">
        <v>340</v>
      </c>
      <c r="G13" s="525" t="s">
        <v>72</v>
      </c>
      <c r="H13" s="550" t="s">
        <v>218</v>
      </c>
      <c r="I13" s="525" t="s">
        <v>87</v>
      </c>
      <c r="J13" s="562" t="s">
        <v>314</v>
      </c>
      <c r="K13" s="564" t="s">
        <v>78</v>
      </c>
      <c r="L13" s="550" t="s">
        <v>314</v>
      </c>
      <c r="M13" s="525" t="s">
        <v>87</v>
      </c>
      <c r="N13" s="543" t="s">
        <v>339</v>
      </c>
      <c r="O13" s="525" t="s">
        <v>70</v>
      </c>
      <c r="P13" s="550" t="s">
        <v>359</v>
      </c>
      <c r="Q13" s="525" t="s">
        <v>59</v>
      </c>
      <c r="R13" s="561" t="s">
        <v>75</v>
      </c>
      <c r="S13" s="558" t="s">
        <v>358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25"/>
      <c r="D14" s="550"/>
      <c r="E14" s="525"/>
      <c r="F14" s="542" t="s">
        <v>202</v>
      </c>
      <c r="G14" s="525" t="s">
        <v>386</v>
      </c>
      <c r="H14" s="550" t="s">
        <v>340</v>
      </c>
      <c r="I14" s="525" t="s">
        <v>78</v>
      </c>
      <c r="J14" s="568" t="s">
        <v>202</v>
      </c>
      <c r="K14" s="563" t="s">
        <v>261</v>
      </c>
      <c r="L14" s="543" t="s">
        <v>339</v>
      </c>
      <c r="M14" s="500" t="s">
        <v>72</v>
      </c>
      <c r="N14" s="550"/>
      <c r="O14" s="525"/>
      <c r="P14" s="562" t="s">
        <v>314</v>
      </c>
      <c r="Q14" s="563" t="s">
        <v>72</v>
      </c>
      <c r="R14" s="561" t="s">
        <v>317</v>
      </c>
      <c r="S14" s="558" t="s">
        <v>212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550"/>
      <c r="K15" s="525"/>
      <c r="L15" s="543"/>
      <c r="M15" s="526"/>
      <c r="N15" s="550"/>
      <c r="O15" s="525"/>
      <c r="P15" s="468"/>
      <c r="Q15" s="482"/>
      <c r="R15" s="561" t="s">
        <v>82</v>
      </c>
      <c r="S15" s="558" t="s">
        <v>63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16"/>
      <c r="P16" s="509"/>
      <c r="Q16" s="487"/>
      <c r="R16" s="549" t="s">
        <v>417</v>
      </c>
      <c r="S16" s="551" t="s">
        <v>428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/>
      <c r="I17" s="488"/>
      <c r="J17" s="444"/>
      <c r="K17" s="447"/>
      <c r="L17" s="544" t="s">
        <v>314</v>
      </c>
      <c r="M17" s="491" t="s">
        <v>74</v>
      </c>
      <c r="N17" s="544"/>
      <c r="O17" s="491"/>
      <c r="P17" s="492" t="s">
        <v>54</v>
      </c>
      <c r="Q17" s="493">
        <v>0.4</v>
      </c>
      <c r="R17" s="605" t="s">
        <v>419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0.83455882352941158</v>
      </c>
      <c r="C18" s="495"/>
      <c r="D18" s="494">
        <f>D51</f>
        <v>1.1127450980392155</v>
      </c>
      <c r="E18" s="496"/>
      <c r="F18" s="494">
        <f>F51</f>
        <v>1.6691176470588232</v>
      </c>
      <c r="G18" s="495"/>
      <c r="H18" s="494">
        <f>H51</f>
        <v>1.3909313725490193</v>
      </c>
      <c r="I18" s="495"/>
      <c r="J18" s="497">
        <f>J51</f>
        <v>1.6691176470588232</v>
      </c>
      <c r="K18" s="495"/>
      <c r="L18" s="497">
        <f>L51</f>
        <v>1.4465686274509801</v>
      </c>
      <c r="M18" s="495"/>
      <c r="N18" s="494">
        <f>N51</f>
        <v>1.6691176470588232</v>
      </c>
      <c r="O18" s="496"/>
      <c r="P18" s="498">
        <f>P51</f>
        <v>1.5578431372549018</v>
      </c>
      <c r="Q18" s="496">
        <f>P18+Q17</f>
        <v>1.9578431372549017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344</v>
      </c>
      <c r="G19" s="501" t="s">
        <v>435</v>
      </c>
      <c r="H19" s="506"/>
      <c r="I19" s="507"/>
      <c r="J19" s="567" t="s">
        <v>439</v>
      </c>
      <c r="K19" s="500" t="s">
        <v>440</v>
      </c>
      <c r="L19" s="566" t="s">
        <v>437</v>
      </c>
      <c r="M19" s="500" t="s">
        <v>438</v>
      </c>
      <c r="N19" s="506" t="s">
        <v>387</v>
      </c>
      <c r="O19" s="507" t="s">
        <v>434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4" t="s">
        <v>437</v>
      </c>
      <c r="G20" s="503" t="s">
        <v>436</v>
      </c>
      <c r="H20" s="506"/>
      <c r="I20" s="500"/>
      <c r="J20" s="499"/>
      <c r="K20" s="500"/>
      <c r="L20" s="502"/>
      <c r="M20" s="500"/>
      <c r="N20" s="566" t="s">
        <v>439</v>
      </c>
      <c r="O20" s="503" t="s">
        <v>441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-25.955882352941181</v>
      </c>
      <c r="C30" s="218"/>
      <c r="D30" s="219">
        <f>D44</f>
        <v>-13.941176470588239</v>
      </c>
      <c r="E30" s="220"/>
      <c r="F30" s="221">
        <f>F44</f>
        <v>12.088235294117638</v>
      </c>
      <c r="G30" s="221"/>
      <c r="H30" s="217">
        <f>H44</f>
        <v>7.3529411764695851E-2</v>
      </c>
      <c r="I30" s="218"/>
      <c r="J30" s="217">
        <f>J44</f>
        <v>6.0882352941176379</v>
      </c>
      <c r="K30" s="222"/>
      <c r="L30" s="217">
        <f>L44</f>
        <v>7.6764705882352899</v>
      </c>
      <c r="M30" s="222"/>
      <c r="N30" s="217">
        <f>N44</f>
        <v>13.088235294117638</v>
      </c>
      <c r="O30" s="222"/>
      <c r="P30" s="152">
        <f>P44</f>
        <v>0.8823529411764639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99</v>
      </c>
      <c r="D31" s="523" t="s">
        <v>25</v>
      </c>
      <c r="E31" s="532" t="s">
        <v>242</v>
      </c>
      <c r="F31" s="533"/>
      <c r="G31" s="534"/>
      <c r="H31" s="448" t="s">
        <v>47</v>
      </c>
      <c r="I31" s="532" t="s">
        <v>238</v>
      </c>
      <c r="J31" s="523"/>
      <c r="K31" s="532"/>
      <c r="L31" s="538"/>
      <c r="M31" s="534"/>
      <c r="N31" s="552" t="s">
        <v>337</v>
      </c>
      <c r="O31" s="554" t="s">
        <v>338</v>
      </c>
      <c r="P31" s="539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444" t="s">
        <v>325</v>
      </c>
      <c r="C32" s="532" t="s">
        <v>242</v>
      </c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531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26.02941176470588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1.5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3</v>
      </c>
      <c r="O43" s="299"/>
      <c r="P43" s="311">
        <f>Q9</f>
        <v>2.8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-25.955882352941181</v>
      </c>
      <c r="C44" s="295"/>
      <c r="D44" s="318">
        <f>B40/B41*D43-D45</f>
        <v>-13.941176470588239</v>
      </c>
      <c r="E44" s="319"/>
      <c r="F44" s="318">
        <f>B40/B41*F43-F45</f>
        <v>12.088235294117638</v>
      </c>
      <c r="G44" s="320"/>
      <c r="H44" s="321">
        <f>B40/B41*H43-H45</f>
        <v>7.3529411764695851E-2</v>
      </c>
      <c r="I44" s="322"/>
      <c r="J44" s="321">
        <f>B40/B41*J43-J45</f>
        <v>6.0882352941176379</v>
      </c>
      <c r="K44" s="322"/>
      <c r="L44" s="321">
        <f>B40/B41*L43-L45</f>
        <v>7.6764705882352899</v>
      </c>
      <c r="M44" s="322"/>
      <c r="N44" s="321">
        <f>B40/B41*N43-N45</f>
        <v>13.088235294117638</v>
      </c>
      <c r="O44" s="322"/>
      <c r="P44" s="311">
        <f>B40/B41*P43-P45</f>
        <v>0.8823529411764639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72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46.784140969162998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39.044117647058819</v>
      </c>
      <c r="C50" s="354"/>
      <c r="D50" s="354">
        <f>B42*D43</f>
        <v>52.058823529411761</v>
      </c>
      <c r="E50" s="354"/>
      <c r="F50" s="354">
        <f>B42*F43</f>
        <v>78.088235294117638</v>
      </c>
      <c r="G50" s="354"/>
      <c r="H50" s="359">
        <f>B42*H43</f>
        <v>65.073529411764696</v>
      </c>
      <c r="I50" s="354"/>
      <c r="J50" s="354">
        <f>B42*J43</f>
        <v>78.088235294117638</v>
      </c>
      <c r="K50" s="354"/>
      <c r="L50" s="354">
        <f>B42*L43</f>
        <v>67.67647058823529</v>
      </c>
      <c r="M50" s="354"/>
      <c r="N50" s="359">
        <f>B42*N43</f>
        <v>78.088235294117638</v>
      </c>
      <c r="O50" s="354"/>
      <c r="P50" s="354">
        <f>B42*P43</f>
        <v>72.882352941176464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0.83455882352941158</v>
      </c>
      <c r="C51" s="354"/>
      <c r="D51" s="354">
        <f>D50/B49</f>
        <v>1.1127450980392155</v>
      </c>
      <c r="E51" s="354"/>
      <c r="F51" s="354">
        <f>F50/B49</f>
        <v>1.6691176470588232</v>
      </c>
      <c r="G51" s="354"/>
      <c r="H51" s="354">
        <f>H50/B49</f>
        <v>1.3909313725490193</v>
      </c>
      <c r="I51" s="354"/>
      <c r="J51" s="354">
        <f>J50/B49</f>
        <v>1.6691176470588232</v>
      </c>
      <c r="K51" s="354"/>
      <c r="L51" s="354">
        <f>L50/B49</f>
        <v>1.4465686274509801</v>
      </c>
      <c r="M51" s="354"/>
      <c r="N51" s="359">
        <f>N50/B49</f>
        <v>1.6691176470588232</v>
      </c>
      <c r="O51" s="354"/>
      <c r="P51" s="354">
        <f>P50/B49</f>
        <v>1.5578431372549018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1.25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J101"/>
  <sheetViews>
    <sheetView topLeftCell="A3" zoomScale="30" zoomScaleNormal="30" workbookViewId="0">
      <selection activeCell="B49" sqref="B4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46034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4" t="s">
        <v>47</v>
      </c>
      <c r="I3" s="447" t="s">
        <v>360</v>
      </c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28</v>
      </c>
      <c r="Q3" s="445">
        <v>0.75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333</v>
      </c>
      <c r="O4" s="447"/>
      <c r="P4" s="444" t="s">
        <v>32</v>
      </c>
      <c r="Q4" s="447">
        <v>0.4</v>
      </c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 t="s">
        <v>34</v>
      </c>
      <c r="E5" s="447"/>
      <c r="F5" s="444" t="s">
        <v>299</v>
      </c>
      <c r="G5" s="447"/>
      <c r="H5" s="444" t="s">
        <v>37</v>
      </c>
      <c r="I5" s="446"/>
      <c r="J5" s="444" t="s">
        <v>13</v>
      </c>
      <c r="K5" s="447" t="s">
        <v>39</v>
      </c>
      <c r="L5" s="451"/>
      <c r="M5" s="447"/>
      <c r="N5" s="444" t="s">
        <v>323</v>
      </c>
      <c r="O5" s="447"/>
      <c r="P5" s="444" t="s">
        <v>50</v>
      </c>
      <c r="Q5" s="446">
        <v>0.4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332</v>
      </c>
      <c r="Q6" s="487">
        <v>0.5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 t="s">
        <v>268</v>
      </c>
      <c r="Q7" s="487" t="s">
        <v>39</v>
      </c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3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2.5</v>
      </c>
      <c r="L9" s="461">
        <v>2</v>
      </c>
      <c r="M9" s="460">
        <f>L9-M11</f>
        <v>2</v>
      </c>
      <c r="N9" s="463">
        <v>3</v>
      </c>
      <c r="O9" s="460">
        <f>N9-O11</f>
        <v>3</v>
      </c>
      <c r="P9" s="454">
        <v>2.5499999999999998</v>
      </c>
      <c r="Q9" s="464">
        <f>P9-Q11</f>
        <v>1.8499999999999999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8" t="s">
        <v>326</v>
      </c>
      <c r="T11" s="545" t="s">
        <v>443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00" t="s">
        <v>328</v>
      </c>
      <c r="J12" s="521" t="s">
        <v>340</v>
      </c>
      <c r="K12" s="500" t="s">
        <v>328</v>
      </c>
      <c r="L12" s="528" t="s">
        <v>312</v>
      </c>
      <c r="M12" s="500" t="s">
        <v>213</v>
      </c>
      <c r="N12" s="522" t="s">
        <v>322</v>
      </c>
      <c r="O12" s="500" t="s">
        <v>213</v>
      </c>
      <c r="P12" s="530" t="s">
        <v>324</v>
      </c>
      <c r="Q12" s="569" t="s">
        <v>213</v>
      </c>
      <c r="R12" s="545" t="s">
        <v>190</v>
      </c>
      <c r="S12" s="545" t="s">
        <v>66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359</v>
      </c>
      <c r="C13" s="525" t="s">
        <v>70</v>
      </c>
      <c r="D13" s="542" t="s">
        <v>202</v>
      </c>
      <c r="E13" s="525" t="s">
        <v>87</v>
      </c>
      <c r="F13" s="542" t="s">
        <v>202</v>
      </c>
      <c r="G13" s="525" t="s">
        <v>36</v>
      </c>
      <c r="H13" s="550" t="s">
        <v>314</v>
      </c>
      <c r="I13" s="525" t="s">
        <v>87</v>
      </c>
      <c r="J13" s="542" t="s">
        <v>202</v>
      </c>
      <c r="K13" s="526" t="s">
        <v>74</v>
      </c>
      <c r="L13" s="550"/>
      <c r="M13" s="525"/>
      <c r="N13" s="543" t="s">
        <v>339</v>
      </c>
      <c r="O13" s="525" t="s">
        <v>261</v>
      </c>
      <c r="P13" s="550" t="s">
        <v>359</v>
      </c>
      <c r="Q13" s="525" t="s">
        <v>72</v>
      </c>
      <c r="R13" s="547" t="s">
        <v>75</v>
      </c>
      <c r="S13" s="545" t="s">
        <v>358</v>
      </c>
      <c r="T13" s="531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3"/>
      <c r="C14" s="525"/>
      <c r="D14" s="543" t="s">
        <v>339</v>
      </c>
      <c r="E14" s="525" t="s">
        <v>72</v>
      </c>
      <c r="F14" s="550"/>
      <c r="G14" s="525"/>
      <c r="H14" s="550"/>
      <c r="I14" s="525"/>
      <c r="J14" s="542"/>
      <c r="K14" s="525"/>
      <c r="L14" s="543"/>
      <c r="M14" s="500"/>
      <c r="N14" s="542"/>
      <c r="O14" s="525"/>
      <c r="P14" s="543" t="s">
        <v>339</v>
      </c>
      <c r="Q14" s="525" t="s">
        <v>74</v>
      </c>
      <c r="R14" s="547" t="s">
        <v>317</v>
      </c>
      <c r="S14" s="545" t="s">
        <v>212</v>
      </c>
      <c r="T14" s="51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5"/>
      <c r="C15" s="486"/>
      <c r="D15" s="542"/>
      <c r="E15" s="525"/>
      <c r="F15" s="543"/>
      <c r="G15" s="525"/>
      <c r="H15" s="541"/>
      <c r="I15" s="525"/>
      <c r="J15" s="550"/>
      <c r="K15" s="525"/>
      <c r="L15" s="543"/>
      <c r="M15" s="526"/>
      <c r="N15" s="550"/>
      <c r="O15" s="525"/>
      <c r="P15" s="542"/>
      <c r="Q15" s="525"/>
      <c r="R15" s="547" t="s">
        <v>82</v>
      </c>
      <c r="S15" s="545" t="s">
        <v>442</v>
      </c>
      <c r="T15" s="519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16"/>
      <c r="P16" s="509"/>
      <c r="Q16" s="487"/>
      <c r="R16" s="549" t="s">
        <v>65</v>
      </c>
      <c r="S16" s="551" t="s">
        <v>262</v>
      </c>
      <c r="T16" s="519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 t="s">
        <v>314</v>
      </c>
      <c r="I17" s="491" t="s">
        <v>74</v>
      </c>
      <c r="J17" s="444"/>
      <c r="K17" s="447"/>
      <c r="L17" s="517"/>
      <c r="M17" s="447"/>
      <c r="N17" s="544"/>
      <c r="O17" s="491"/>
      <c r="P17" s="492" t="s">
        <v>54</v>
      </c>
      <c r="Q17" s="493">
        <v>0.4</v>
      </c>
      <c r="R17" s="605" t="s">
        <v>419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1.5611510791366907</v>
      </c>
      <c r="C18" s="495"/>
      <c r="D18" s="494">
        <f>D51</f>
        <v>1.5611510791366907</v>
      </c>
      <c r="E18" s="496"/>
      <c r="F18" s="494">
        <f>F51</f>
        <v>1.5611510791366907</v>
      </c>
      <c r="G18" s="495"/>
      <c r="H18" s="494">
        <f>H51</f>
        <v>1.3009592326139088</v>
      </c>
      <c r="I18" s="495"/>
      <c r="J18" s="497">
        <f>J51</f>
        <v>1.3009592326139088</v>
      </c>
      <c r="K18" s="495"/>
      <c r="L18" s="497">
        <f>L51</f>
        <v>1.0407673860911271</v>
      </c>
      <c r="M18" s="495"/>
      <c r="N18" s="494">
        <f>N51</f>
        <v>1.5611510791366907</v>
      </c>
      <c r="O18" s="496"/>
      <c r="P18" s="498">
        <f>P51</f>
        <v>0.96270983213429251</v>
      </c>
      <c r="Q18" s="496">
        <f>P18+Q17</f>
        <v>1.3627098321342925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446</v>
      </c>
      <c r="D19" s="506" t="s">
        <v>448</v>
      </c>
      <c r="E19" s="507" t="s">
        <v>449</v>
      </c>
      <c r="F19" s="506" t="s">
        <v>393</v>
      </c>
      <c r="G19" s="501" t="s">
        <v>454</v>
      </c>
      <c r="H19" s="506"/>
      <c r="I19" s="507"/>
      <c r="J19" s="499"/>
      <c r="K19" s="500"/>
      <c r="L19" s="502"/>
      <c r="M19" s="500"/>
      <c r="N19" s="506" t="s">
        <v>452</v>
      </c>
      <c r="O19" s="507" t="s">
        <v>453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 t="s">
        <v>370</v>
      </c>
      <c r="C20" s="500" t="s">
        <v>447</v>
      </c>
      <c r="D20" s="499"/>
      <c r="E20" s="500"/>
      <c r="F20" s="505" t="s">
        <v>448</v>
      </c>
      <c r="G20" s="503" t="s">
        <v>450</v>
      </c>
      <c r="H20" s="506"/>
      <c r="I20" s="500"/>
      <c r="J20" s="499"/>
      <c r="K20" s="500"/>
      <c r="L20" s="502"/>
      <c r="M20" s="500"/>
      <c r="N20" s="502" t="s">
        <v>373</v>
      </c>
      <c r="O20" s="500" t="s">
        <v>451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11.115107913669064</v>
      </c>
      <c r="C30" s="218"/>
      <c r="D30" s="219">
        <f>D44</f>
        <v>10.115107913669064</v>
      </c>
      <c r="E30" s="220"/>
      <c r="F30" s="221">
        <f>F44</f>
        <v>10.115107913669064</v>
      </c>
      <c r="G30" s="221"/>
      <c r="H30" s="217">
        <f>H44</f>
        <v>-1.5707434052757847</v>
      </c>
      <c r="I30" s="218"/>
      <c r="J30" s="217">
        <f>J44</f>
        <v>-6.5707434052757847</v>
      </c>
      <c r="K30" s="222"/>
      <c r="L30" s="217">
        <f>L44</f>
        <v>-9.2565947242206263</v>
      </c>
      <c r="M30" s="222"/>
      <c r="N30" s="217">
        <f>N44</f>
        <v>11.115107913669064</v>
      </c>
      <c r="O30" s="222"/>
      <c r="P30" s="152">
        <f>P44</f>
        <v>-25.062350119904082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/>
      <c r="E31" s="532"/>
      <c r="F31" s="533"/>
      <c r="G31" s="534"/>
      <c r="H31" s="448"/>
      <c r="I31" s="532"/>
      <c r="J31" s="523" t="s">
        <v>14</v>
      </c>
      <c r="K31" s="532" t="s">
        <v>99</v>
      </c>
      <c r="L31" s="538" t="s">
        <v>381</v>
      </c>
      <c r="M31" s="534" t="s">
        <v>433</v>
      </c>
      <c r="N31" s="552" t="s">
        <v>337</v>
      </c>
      <c r="O31" s="554" t="s">
        <v>338</v>
      </c>
      <c r="P31" s="539" t="s">
        <v>32</v>
      </c>
      <c r="Q31" s="440" t="s">
        <v>432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 t="s">
        <v>50</v>
      </c>
      <c r="Q32" s="440" t="s">
        <v>432</v>
      </c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 t="s">
        <v>28</v>
      </c>
      <c r="Q33" s="107" t="s">
        <v>444</v>
      </c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20.85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25.371702637889687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2.5</v>
      </c>
      <c r="K43" s="299"/>
      <c r="L43" s="278">
        <f>M9</f>
        <v>2</v>
      </c>
      <c r="M43" s="299"/>
      <c r="N43" s="278">
        <f>O9</f>
        <v>3</v>
      </c>
      <c r="O43" s="299"/>
      <c r="P43" s="311">
        <f>Q9</f>
        <v>1.8499999999999999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11.115107913669064</v>
      </c>
      <c r="C44" s="295"/>
      <c r="D44" s="318">
        <f>B40/B41*D43-D45</f>
        <v>10.115107913669064</v>
      </c>
      <c r="E44" s="319"/>
      <c r="F44" s="318">
        <f>B40/B41*F43-F45</f>
        <v>10.115107913669064</v>
      </c>
      <c r="G44" s="320"/>
      <c r="H44" s="321">
        <f>B40/B41*H43-H45</f>
        <v>-1.5707434052757847</v>
      </c>
      <c r="I44" s="322"/>
      <c r="J44" s="321">
        <f>B40/B41*J43-J45</f>
        <v>-6.5707434052757847</v>
      </c>
      <c r="K44" s="322"/>
      <c r="L44" s="321">
        <f>B40/B41*L43-L45</f>
        <v>-9.2565947242206263</v>
      </c>
      <c r="M44" s="322"/>
      <c r="N44" s="321">
        <f>B40/B41*N43-N45</f>
        <v>11.115107913669064</v>
      </c>
      <c r="O44" s="322"/>
      <c r="P44" s="311">
        <f>B40/B41*P43-P45</f>
        <v>-25.062350119904082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48.755760368663594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76.115107913669064</v>
      </c>
      <c r="C50" s="354"/>
      <c r="D50" s="354">
        <f>B42*D43</f>
        <v>76.115107913669064</v>
      </c>
      <c r="E50" s="354"/>
      <c r="F50" s="354">
        <f>B42*F43</f>
        <v>76.115107913669064</v>
      </c>
      <c r="G50" s="354"/>
      <c r="H50" s="359">
        <f>B42*H43</f>
        <v>63.429256594724215</v>
      </c>
      <c r="I50" s="354"/>
      <c r="J50" s="354">
        <f>B42*J43</f>
        <v>63.429256594724215</v>
      </c>
      <c r="K50" s="354"/>
      <c r="L50" s="354">
        <f>B42*L43</f>
        <v>50.743405275779374</v>
      </c>
      <c r="M50" s="354"/>
      <c r="N50" s="359">
        <f>B42*N43</f>
        <v>76.115107913669064</v>
      </c>
      <c r="O50" s="354"/>
      <c r="P50" s="354">
        <f>B42*P43</f>
        <v>46.937649880095918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1.5611510791366907</v>
      </c>
      <c r="C51" s="354"/>
      <c r="D51" s="354">
        <f>D50/B49</f>
        <v>1.5611510791366907</v>
      </c>
      <c r="E51" s="354"/>
      <c r="F51" s="354">
        <f>F50/B49</f>
        <v>1.5611510791366907</v>
      </c>
      <c r="G51" s="354"/>
      <c r="H51" s="354">
        <f>H50/B49</f>
        <v>1.3009592326139088</v>
      </c>
      <c r="I51" s="354"/>
      <c r="J51" s="354">
        <f>J50/B49</f>
        <v>1.3009592326139088</v>
      </c>
      <c r="K51" s="354"/>
      <c r="L51" s="354">
        <f>L50/B49</f>
        <v>1.0407673860911271</v>
      </c>
      <c r="M51" s="354"/>
      <c r="N51" s="359">
        <f>N50/B49</f>
        <v>1.5611510791366907</v>
      </c>
      <c r="O51" s="354"/>
      <c r="P51" s="354">
        <f>P50/B49</f>
        <v>0.96270983213429251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1.5</v>
      </c>
      <c r="H69" s="376">
        <v>0</v>
      </c>
      <c r="I69" s="377">
        <v>0</v>
      </c>
      <c r="J69" s="376">
        <f>SUM(C69:H69)</f>
        <v>3.15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J101"/>
  <sheetViews>
    <sheetView zoomScale="20" zoomScaleNormal="20" workbookViewId="0">
      <selection activeCell="D2" sqref="D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46035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333</v>
      </c>
      <c r="O4" s="447"/>
      <c r="P4" s="444" t="s">
        <v>50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 t="s">
        <v>34</v>
      </c>
      <c r="E5" s="447"/>
      <c r="F5" s="444" t="s">
        <v>299</v>
      </c>
      <c r="G5" s="447"/>
      <c r="H5" s="444" t="s">
        <v>13</v>
      </c>
      <c r="I5" s="447" t="s">
        <v>39</v>
      </c>
      <c r="J5" s="444"/>
      <c r="K5" s="447"/>
      <c r="L5" s="451" t="s">
        <v>381</v>
      </c>
      <c r="M5" s="447"/>
      <c r="N5" s="444" t="s">
        <v>323</v>
      </c>
      <c r="O5" s="447"/>
      <c r="P5" s="444" t="s">
        <v>332</v>
      </c>
      <c r="Q5" s="446">
        <v>0.5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/>
      <c r="Q6" s="487"/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3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2</v>
      </c>
      <c r="L9" s="461">
        <v>3</v>
      </c>
      <c r="M9" s="460">
        <f>L9-M11</f>
        <v>2.6</v>
      </c>
      <c r="N9" s="463">
        <v>3</v>
      </c>
      <c r="O9" s="460">
        <f>N9-O11</f>
        <v>3</v>
      </c>
      <c r="P9" s="454">
        <v>2.5</v>
      </c>
      <c r="Q9" s="464">
        <f>P9-Q11</f>
        <v>1.8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0.4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71" t="s">
        <v>326</v>
      </c>
      <c r="T11" s="572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00" t="s">
        <v>328</v>
      </c>
      <c r="J12" s="521" t="s">
        <v>340</v>
      </c>
      <c r="K12" s="500" t="s">
        <v>328</v>
      </c>
      <c r="L12" s="528" t="s">
        <v>312</v>
      </c>
      <c r="M12" s="500" t="s">
        <v>70</v>
      </c>
      <c r="N12" s="522" t="s">
        <v>322</v>
      </c>
      <c r="O12" s="500" t="s">
        <v>213</v>
      </c>
      <c r="P12" s="530" t="s">
        <v>324</v>
      </c>
      <c r="Q12" s="569" t="s">
        <v>36</v>
      </c>
      <c r="R12" s="545" t="s">
        <v>190</v>
      </c>
      <c r="S12" s="545" t="s">
        <v>66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359</v>
      </c>
      <c r="C13" s="575" t="s">
        <v>78</v>
      </c>
      <c r="D13" s="542" t="s">
        <v>459</v>
      </c>
      <c r="E13" s="525" t="s">
        <v>78</v>
      </c>
      <c r="F13" s="542" t="s">
        <v>459</v>
      </c>
      <c r="G13" s="525" t="s">
        <v>72</v>
      </c>
      <c r="H13" s="542" t="s">
        <v>459</v>
      </c>
      <c r="I13" s="525" t="s">
        <v>87</v>
      </c>
      <c r="J13" s="542"/>
      <c r="K13" s="526"/>
      <c r="L13" s="542" t="s">
        <v>459</v>
      </c>
      <c r="M13" s="525" t="s">
        <v>74</v>
      </c>
      <c r="N13" s="543" t="s">
        <v>339</v>
      </c>
      <c r="O13" s="525" t="s">
        <v>70</v>
      </c>
      <c r="P13" s="550" t="s">
        <v>359</v>
      </c>
      <c r="Q13" s="525" t="s">
        <v>203</v>
      </c>
      <c r="R13" s="547" t="s">
        <v>75</v>
      </c>
      <c r="S13" s="545" t="s">
        <v>358</v>
      </c>
      <c r="T13" s="573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3" t="s">
        <v>456</v>
      </c>
      <c r="C14" s="525" t="s">
        <v>87</v>
      </c>
      <c r="D14" s="550" t="s">
        <v>218</v>
      </c>
      <c r="E14" s="525" t="s">
        <v>87</v>
      </c>
      <c r="F14" s="543" t="s">
        <v>456</v>
      </c>
      <c r="G14" s="525" t="s">
        <v>36</v>
      </c>
      <c r="H14" s="550"/>
      <c r="I14" s="525"/>
      <c r="J14" s="542"/>
      <c r="K14" s="525"/>
      <c r="L14" s="543" t="s">
        <v>339</v>
      </c>
      <c r="M14" s="525" t="s">
        <v>72</v>
      </c>
      <c r="N14" s="542"/>
      <c r="O14" s="525"/>
      <c r="P14" s="543" t="s">
        <v>456</v>
      </c>
      <c r="Q14" s="525" t="s">
        <v>460</v>
      </c>
      <c r="R14" s="547" t="s">
        <v>317</v>
      </c>
      <c r="S14" s="545" t="s">
        <v>458</v>
      </c>
      <c r="T14" s="55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3"/>
      <c r="C15" s="575"/>
      <c r="D15" s="550"/>
      <c r="E15" s="525"/>
      <c r="F15" s="543"/>
      <c r="G15" s="525"/>
      <c r="H15" s="541"/>
      <c r="I15" s="525"/>
      <c r="J15" s="550"/>
      <c r="K15" s="525"/>
      <c r="L15" s="543"/>
      <c r="M15" s="526"/>
      <c r="N15" s="550"/>
      <c r="P15" s="542"/>
      <c r="Q15" s="525"/>
      <c r="R15" s="547" t="s">
        <v>82</v>
      </c>
      <c r="S15" s="545" t="s">
        <v>442</v>
      </c>
      <c r="T15" s="55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25"/>
      <c r="P16" s="509"/>
      <c r="Q16" s="487"/>
      <c r="R16" s="549" t="s">
        <v>457</v>
      </c>
      <c r="S16" s="551" t="s">
        <v>262</v>
      </c>
      <c r="T16" s="55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/>
      <c r="I17" s="491"/>
      <c r="J17" s="444"/>
      <c r="K17" s="447"/>
      <c r="L17" s="544"/>
      <c r="M17" s="570"/>
      <c r="N17" s="543"/>
      <c r="O17" s="491"/>
      <c r="P17" s="492" t="s">
        <v>54</v>
      </c>
      <c r="Q17" s="493">
        <v>0.4</v>
      </c>
      <c r="R17" s="605" t="s">
        <v>463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1.5933014354066986</v>
      </c>
      <c r="C18" s="495"/>
      <c r="D18" s="494">
        <f>D51</f>
        <v>1.5933014354066986</v>
      </c>
      <c r="E18" s="496"/>
      <c r="F18" s="494">
        <f>F51</f>
        <v>1.5933014354066986</v>
      </c>
      <c r="G18" s="495"/>
      <c r="H18" s="494">
        <f>H51</f>
        <v>1.3277511961722486</v>
      </c>
      <c r="I18" s="495"/>
      <c r="J18" s="497">
        <f>J51</f>
        <v>1.062200956937799</v>
      </c>
      <c r="K18" s="495"/>
      <c r="L18" s="497">
        <f>L51</f>
        <v>1.3808612440191386</v>
      </c>
      <c r="M18" s="495"/>
      <c r="N18" s="494">
        <f>N51</f>
        <v>1.5933014354066986</v>
      </c>
      <c r="O18" s="496"/>
      <c r="P18" s="498">
        <f>P51</f>
        <v>0.95598086124401904</v>
      </c>
      <c r="Q18" s="496">
        <f>P18+Q17</f>
        <v>1.355980861244019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370</v>
      </c>
      <c r="C19" s="507" t="s">
        <v>469</v>
      </c>
      <c r="D19" s="506" t="s">
        <v>370</v>
      </c>
      <c r="E19" s="507" t="s">
        <v>470</v>
      </c>
      <c r="F19" s="506" t="s">
        <v>464</v>
      </c>
      <c r="G19" s="501" t="s">
        <v>465</v>
      </c>
      <c r="H19" s="506"/>
      <c r="I19" s="507"/>
      <c r="J19" s="499"/>
      <c r="K19" s="500"/>
      <c r="L19" s="502" t="s">
        <v>445</v>
      </c>
      <c r="M19" s="500" t="s">
        <v>468</v>
      </c>
      <c r="N19" s="506" t="s">
        <v>396</v>
      </c>
      <c r="O19" s="507" t="s">
        <v>466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502" t="s">
        <v>448</v>
      </c>
      <c r="E20" s="500" t="s">
        <v>467</v>
      </c>
      <c r="F20" s="505"/>
      <c r="G20" s="503"/>
      <c r="H20" s="506"/>
      <c r="I20" s="500"/>
      <c r="J20" s="499"/>
      <c r="K20" s="500"/>
      <c r="L20" s="502"/>
      <c r="M20" s="500"/>
      <c r="N20" s="502" t="s">
        <v>373</v>
      </c>
      <c r="O20" s="500" t="s">
        <v>451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10.933014354066984</v>
      </c>
      <c r="C30" s="218"/>
      <c r="D30" s="219">
        <f>D44</f>
        <v>9.9330143540669837</v>
      </c>
      <c r="E30" s="220"/>
      <c r="F30" s="221">
        <f>F44</f>
        <v>9.9330143540669837</v>
      </c>
      <c r="G30" s="221"/>
      <c r="H30" s="217">
        <f>H44</f>
        <v>-1.7224880382775183</v>
      </c>
      <c r="I30" s="218"/>
      <c r="J30" s="217">
        <f>J44</f>
        <v>-19.377990430622013</v>
      </c>
      <c r="K30" s="222"/>
      <c r="L30" s="217">
        <f>L44</f>
        <v>5.8086124401913821</v>
      </c>
      <c r="M30" s="222"/>
      <c r="N30" s="217">
        <f>N44</f>
        <v>10.933014354066984</v>
      </c>
      <c r="O30" s="222"/>
      <c r="P30" s="152">
        <f>P44</f>
        <v>-26.440191387559814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/>
      <c r="E31" s="532"/>
      <c r="F31" s="533"/>
      <c r="G31" s="534"/>
      <c r="H31" s="448" t="s">
        <v>47</v>
      </c>
      <c r="I31" s="532" t="s">
        <v>99</v>
      </c>
      <c r="J31" s="523" t="s">
        <v>14</v>
      </c>
      <c r="K31" s="532" t="s">
        <v>99</v>
      </c>
      <c r="L31" s="538"/>
      <c r="M31" s="534"/>
      <c r="N31" s="552" t="s">
        <v>337</v>
      </c>
      <c r="O31" s="554" t="s">
        <v>338</v>
      </c>
      <c r="P31" s="24" t="s">
        <v>28</v>
      </c>
      <c r="Q31" s="440" t="s">
        <v>455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25.311004784688993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</v>
      </c>
      <c r="K43" s="299"/>
      <c r="L43" s="278">
        <f>M9</f>
        <v>2.6</v>
      </c>
      <c r="M43" s="299"/>
      <c r="N43" s="278">
        <f>O9</f>
        <v>3</v>
      </c>
      <c r="O43" s="299"/>
      <c r="P43" s="311">
        <f>Q9</f>
        <v>1.8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10.933014354066984</v>
      </c>
      <c r="C44" s="295"/>
      <c r="D44" s="318">
        <f>B40/B41*D43-D45</f>
        <v>9.9330143540669837</v>
      </c>
      <c r="E44" s="319"/>
      <c r="F44" s="318">
        <f>B40/B41*F43-F45</f>
        <v>9.9330143540669837</v>
      </c>
      <c r="G44" s="320"/>
      <c r="H44" s="321">
        <f>B40/B41*H43-H45</f>
        <v>-1.7224880382775183</v>
      </c>
      <c r="I44" s="322"/>
      <c r="J44" s="321">
        <f>B40/B41*J43-J45</f>
        <v>-19.377990430622013</v>
      </c>
      <c r="K44" s="322"/>
      <c r="L44" s="321">
        <f>B40/B41*L43-L45</f>
        <v>5.8086124401913821</v>
      </c>
      <c r="M44" s="322"/>
      <c r="N44" s="321">
        <f>B40/B41*N43-N45</f>
        <v>10.933014354066984</v>
      </c>
      <c r="O44" s="322"/>
      <c r="P44" s="311">
        <f>B40/B41*P43-P45</f>
        <v>-26.440191387559814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47.657657657657658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75.933014354066984</v>
      </c>
      <c r="C50" s="354"/>
      <c r="D50" s="354">
        <f>B42*D43</f>
        <v>75.933014354066984</v>
      </c>
      <c r="E50" s="354"/>
      <c r="F50" s="354">
        <f>B42*F43</f>
        <v>75.933014354066984</v>
      </c>
      <c r="G50" s="354"/>
      <c r="H50" s="359">
        <f>B42*H43</f>
        <v>63.277511961722482</v>
      </c>
      <c r="I50" s="354"/>
      <c r="J50" s="354">
        <f>B42*J43</f>
        <v>50.622009569377987</v>
      </c>
      <c r="K50" s="354"/>
      <c r="L50" s="354">
        <f>B42*L43</f>
        <v>65.808612440191382</v>
      </c>
      <c r="M50" s="354"/>
      <c r="N50" s="359">
        <f>B42*N43</f>
        <v>75.933014354066984</v>
      </c>
      <c r="O50" s="354"/>
      <c r="P50" s="354">
        <f>B42*P43</f>
        <v>45.559808612440186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1.5933014354066986</v>
      </c>
      <c r="C51" s="354"/>
      <c r="D51" s="354">
        <f>D50/B49</f>
        <v>1.5933014354066986</v>
      </c>
      <c r="E51" s="354"/>
      <c r="F51" s="354">
        <f>F50/B49</f>
        <v>1.5933014354066986</v>
      </c>
      <c r="G51" s="354"/>
      <c r="H51" s="354">
        <f>H50/B49</f>
        <v>1.3277511961722486</v>
      </c>
      <c r="I51" s="354"/>
      <c r="J51" s="354">
        <f>J50/B49</f>
        <v>1.062200956937799</v>
      </c>
      <c r="K51" s="354"/>
      <c r="L51" s="354">
        <f>L50/B49</f>
        <v>1.3808612440191386</v>
      </c>
      <c r="M51" s="354"/>
      <c r="N51" s="359">
        <f>N50/B49</f>
        <v>1.5933014354066986</v>
      </c>
      <c r="O51" s="354"/>
      <c r="P51" s="354">
        <f>P50/B49</f>
        <v>0.95598086124401904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</v>
      </c>
      <c r="F69" s="376">
        <f>Q17</f>
        <v>0.4</v>
      </c>
      <c r="G69" s="380">
        <v>1.75</v>
      </c>
      <c r="H69" s="376">
        <v>0</v>
      </c>
      <c r="I69" s="377">
        <v>0</v>
      </c>
      <c r="J69" s="376">
        <f>SUM(C69:H69)</f>
        <v>2.9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101"/>
  <sheetViews>
    <sheetView zoomScale="16" zoomScaleNormal="16" workbookViewId="0">
      <selection activeCell="N19" sqref="N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333</v>
      </c>
      <c r="O4" s="447"/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/>
      <c r="E5" s="447"/>
      <c r="F5" s="444" t="s">
        <v>299</v>
      </c>
      <c r="G5" s="447"/>
      <c r="H5" s="444"/>
      <c r="I5" s="447"/>
      <c r="J5" s="444" t="s">
        <v>13</v>
      </c>
      <c r="K5" s="447" t="s">
        <v>39</v>
      </c>
      <c r="L5" s="451" t="s">
        <v>381</v>
      </c>
      <c r="M5" s="447"/>
      <c r="N5" s="444" t="s">
        <v>323</v>
      </c>
      <c r="O5" s="447"/>
      <c r="P5" s="444" t="s">
        <v>332</v>
      </c>
      <c r="Q5" s="446">
        <v>0.5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6"/>
      <c r="J6" s="444"/>
      <c r="K6" s="447"/>
      <c r="L6" s="444"/>
      <c r="M6" s="445"/>
      <c r="N6" s="444"/>
      <c r="O6" s="446"/>
      <c r="P6" s="444" t="s">
        <v>50</v>
      </c>
      <c r="Q6" s="487">
        <v>0.3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 t="s">
        <v>471</v>
      </c>
      <c r="Q7" s="487">
        <v>0.25</v>
      </c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3</v>
      </c>
      <c r="H9" s="462">
        <v>2</v>
      </c>
      <c r="I9" s="460">
        <f>H9-I11</f>
        <v>2</v>
      </c>
      <c r="J9" s="461"/>
      <c r="K9" s="460">
        <v>2.5</v>
      </c>
      <c r="L9" s="461">
        <v>3</v>
      </c>
      <c r="M9" s="460">
        <f>L9-M11</f>
        <v>2.6</v>
      </c>
      <c r="N9" s="463">
        <v>3</v>
      </c>
      <c r="O9" s="460">
        <f>N9-O11</f>
        <v>3</v>
      </c>
      <c r="P9" s="454">
        <v>3.05</v>
      </c>
      <c r="Q9" s="464">
        <f>P9-Q11</f>
        <v>2.3499999999999996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0.4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328</v>
      </c>
      <c r="H12" s="543" t="s">
        <v>382</v>
      </c>
      <c r="I12" s="500" t="s">
        <v>328</v>
      </c>
      <c r="J12" s="521" t="s">
        <v>340</v>
      </c>
      <c r="K12" s="500" t="s">
        <v>328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190</v>
      </c>
      <c r="S12" s="549" t="s">
        <v>65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3" t="s">
        <v>263</v>
      </c>
      <c r="C13" s="574" t="s">
        <v>70</v>
      </c>
      <c r="D13" s="550"/>
      <c r="E13" s="525"/>
      <c r="F13" s="543" t="s">
        <v>314</v>
      </c>
      <c r="G13" s="525" t="s">
        <v>225</v>
      </c>
      <c r="H13" s="542"/>
      <c r="I13" s="525"/>
      <c r="J13" s="550" t="s">
        <v>459</v>
      </c>
      <c r="K13" s="526" t="s">
        <v>87</v>
      </c>
      <c r="L13" s="550" t="s">
        <v>459</v>
      </c>
      <c r="M13" s="525" t="s">
        <v>36</v>
      </c>
      <c r="N13" s="542" t="s">
        <v>339</v>
      </c>
      <c r="O13" s="525" t="s">
        <v>70</v>
      </c>
      <c r="P13" s="543" t="s">
        <v>263</v>
      </c>
      <c r="Q13" s="525" t="s">
        <v>72</v>
      </c>
      <c r="R13" s="547" t="s">
        <v>75</v>
      </c>
      <c r="S13" s="545" t="s">
        <v>66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25"/>
      <c r="D14" s="543"/>
      <c r="E14" s="525"/>
      <c r="F14" s="543"/>
      <c r="G14" s="525"/>
      <c r="H14" s="550"/>
      <c r="I14" s="525"/>
      <c r="J14" s="550"/>
      <c r="K14" s="525"/>
      <c r="L14" s="543"/>
      <c r="M14" s="525"/>
      <c r="N14" s="542"/>
      <c r="O14" s="525"/>
      <c r="P14" s="550" t="s">
        <v>459</v>
      </c>
      <c r="Q14" s="525" t="s">
        <v>74</v>
      </c>
      <c r="R14" s="547" t="s">
        <v>317</v>
      </c>
      <c r="S14" s="559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50"/>
      <c r="C15" s="486"/>
      <c r="D15" s="542"/>
      <c r="E15" s="525"/>
      <c r="F15" s="543"/>
      <c r="G15" s="525"/>
      <c r="H15" s="541"/>
      <c r="I15" s="525"/>
      <c r="J15" s="550"/>
      <c r="K15" s="525"/>
      <c r="L15" s="543"/>
      <c r="M15" s="526"/>
      <c r="N15" s="550"/>
      <c r="P15" s="542" t="s">
        <v>339</v>
      </c>
      <c r="Q15" s="525" t="s">
        <v>72</v>
      </c>
      <c r="R15" s="547" t="s">
        <v>442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25"/>
      <c r="P16" s="509"/>
      <c r="Q16" s="487"/>
      <c r="R16" s="545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/>
      <c r="I17" s="491"/>
      <c r="J17" s="444"/>
      <c r="K17" s="447"/>
      <c r="L17" s="544" t="s">
        <v>314</v>
      </c>
      <c r="M17" s="491" t="s">
        <v>87</v>
      </c>
      <c r="N17" s="544"/>
      <c r="O17" s="491"/>
      <c r="P17" s="492" t="s">
        <v>54</v>
      </c>
      <c r="Q17" s="493">
        <v>0.4</v>
      </c>
      <c r="R17" s="605" t="s">
        <v>463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1.6650366748166257</v>
      </c>
      <c r="C18" s="495"/>
      <c r="D18" s="494">
        <f>D51</f>
        <v>1.1100244498777505</v>
      </c>
      <c r="E18" s="496"/>
      <c r="F18" s="494">
        <f>F51</f>
        <v>1.6650366748166257</v>
      </c>
      <c r="G18" s="495"/>
      <c r="H18" s="494">
        <f>H51</f>
        <v>1.1100244498777505</v>
      </c>
      <c r="I18" s="495"/>
      <c r="J18" s="497">
        <f>J51</f>
        <v>1.3875305623471879</v>
      </c>
      <c r="K18" s="495"/>
      <c r="L18" s="497">
        <f>L51</f>
        <v>1.4430317848410756</v>
      </c>
      <c r="M18" s="495"/>
      <c r="N18" s="494">
        <f>N51</f>
        <v>1.6650366748166257</v>
      </c>
      <c r="O18" s="496"/>
      <c r="P18" s="498">
        <f>P51</f>
        <v>1.3042787286063564</v>
      </c>
      <c r="Q18" s="496">
        <f>P18+Q17</f>
        <v>1.7042787286063565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370</v>
      </c>
      <c r="C19" s="507" t="s">
        <v>483</v>
      </c>
      <c r="D19" s="506"/>
      <c r="E19" s="507"/>
      <c r="F19" s="506" t="s">
        <v>344</v>
      </c>
      <c r="G19" s="501" t="s">
        <v>476</v>
      </c>
      <c r="H19" s="506"/>
      <c r="I19" s="507"/>
      <c r="J19" s="499"/>
      <c r="K19" s="500"/>
      <c r="L19" s="499" t="s">
        <v>425</v>
      </c>
      <c r="M19" s="500" t="s">
        <v>477</v>
      </c>
      <c r="N19" s="506" t="s">
        <v>390</v>
      </c>
      <c r="O19" s="507" t="s">
        <v>480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6" t="s">
        <v>445</v>
      </c>
      <c r="C20" s="500" t="s">
        <v>484</v>
      </c>
      <c r="D20" s="499"/>
      <c r="E20" s="500"/>
      <c r="F20" s="505" t="s">
        <v>393</v>
      </c>
      <c r="G20" s="503" t="s">
        <v>482</v>
      </c>
      <c r="H20" s="506"/>
      <c r="I20" s="500"/>
      <c r="J20" s="499"/>
      <c r="K20" s="500"/>
      <c r="L20" s="499"/>
      <c r="M20" s="500"/>
      <c r="N20" s="502" t="s">
        <v>373</v>
      </c>
      <c r="O20" s="500" t="s">
        <v>481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00" t="s">
        <v>478</v>
      </c>
      <c r="C21" s="500" t="s">
        <v>479</v>
      </c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12.603911980440088</v>
      </c>
      <c r="C30" s="218"/>
      <c r="D30" s="219">
        <f>D44</f>
        <v>-14.264058679706608</v>
      </c>
      <c r="E30" s="220"/>
      <c r="F30" s="221">
        <f>F44</f>
        <v>11.603911980440088</v>
      </c>
      <c r="G30" s="221"/>
      <c r="H30" s="217">
        <f>H44</f>
        <v>-13.264058679706608</v>
      </c>
      <c r="I30" s="218"/>
      <c r="J30" s="217">
        <f>J44</f>
        <v>-5.3300733496332668</v>
      </c>
      <c r="K30" s="222"/>
      <c r="L30" s="217">
        <f>L44</f>
        <v>7.2567237163814156</v>
      </c>
      <c r="M30" s="222"/>
      <c r="N30" s="217">
        <f>N44</f>
        <v>12.603911980440088</v>
      </c>
      <c r="O30" s="222"/>
      <c r="P30" s="152">
        <f>P44</f>
        <v>-11.210268948655276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34</v>
      </c>
      <c r="E31" s="532" t="s">
        <v>462</v>
      </c>
      <c r="F31" s="533"/>
      <c r="G31" s="534"/>
      <c r="H31" s="448" t="s">
        <v>47</v>
      </c>
      <c r="I31" s="532" t="s">
        <v>99</v>
      </c>
      <c r="J31" s="523" t="s">
        <v>14</v>
      </c>
      <c r="K31" s="532" t="s">
        <v>99</v>
      </c>
      <c r="L31" s="538"/>
      <c r="M31" s="534"/>
      <c r="N31" s="552" t="s">
        <v>337</v>
      </c>
      <c r="O31" s="554" t="s">
        <v>338</v>
      </c>
      <c r="P31" s="24" t="s">
        <v>50</v>
      </c>
      <c r="Q31" s="440" t="s">
        <v>461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20.450000000000003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25.867970660146696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2.5</v>
      </c>
      <c r="K43" s="299"/>
      <c r="L43" s="278">
        <f>M9</f>
        <v>2.6</v>
      </c>
      <c r="M43" s="299"/>
      <c r="N43" s="278">
        <f>O9</f>
        <v>3</v>
      </c>
      <c r="O43" s="299"/>
      <c r="P43" s="311">
        <f>Q9</f>
        <v>2.3499999999999996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12.603911980440088</v>
      </c>
      <c r="C44" s="295"/>
      <c r="D44" s="318">
        <f>B40/B41*D43-D45</f>
        <v>-14.264058679706608</v>
      </c>
      <c r="E44" s="319"/>
      <c r="F44" s="318">
        <f>B40/B41*F43-F45</f>
        <v>11.603911980440088</v>
      </c>
      <c r="G44" s="320"/>
      <c r="H44" s="321">
        <f>B40/B41*H43-H45</f>
        <v>-13.264058679706608</v>
      </c>
      <c r="I44" s="322"/>
      <c r="J44" s="321">
        <f>B40/B41*J43-J45</f>
        <v>-5.3300733496332668</v>
      </c>
      <c r="K44" s="322"/>
      <c r="L44" s="321">
        <f>B40/B41*L43-L45</f>
        <v>7.2567237163814156</v>
      </c>
      <c r="M44" s="322"/>
      <c r="N44" s="321">
        <f>B40/B41*N43-N45</f>
        <v>12.603911980440088</v>
      </c>
      <c r="O44" s="322"/>
      <c r="P44" s="311">
        <f>B40/B41*P43-P45</f>
        <v>-11.210268948655276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46.607929515418505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77.603911980440088</v>
      </c>
      <c r="C50" s="354"/>
      <c r="D50" s="354">
        <f>B42*D43</f>
        <v>51.735941320293392</v>
      </c>
      <c r="E50" s="354"/>
      <c r="F50" s="354">
        <f>B42*F43</f>
        <v>77.603911980440088</v>
      </c>
      <c r="G50" s="354"/>
      <c r="H50" s="359">
        <f>B42*H43</f>
        <v>51.735941320293392</v>
      </c>
      <c r="I50" s="354"/>
      <c r="J50" s="354">
        <f>B42*J43</f>
        <v>64.669926650366733</v>
      </c>
      <c r="K50" s="354"/>
      <c r="L50" s="354">
        <f>B42*L43</f>
        <v>67.256723716381416</v>
      </c>
      <c r="M50" s="354"/>
      <c r="N50" s="359">
        <f>B42*N43</f>
        <v>77.603911980440088</v>
      </c>
      <c r="O50" s="354"/>
      <c r="P50" s="354">
        <f>B42*P43</f>
        <v>60.789731051344724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1.6650366748166257</v>
      </c>
      <c r="C51" s="354"/>
      <c r="D51" s="354">
        <f>D50/B49</f>
        <v>1.1100244498777505</v>
      </c>
      <c r="E51" s="354"/>
      <c r="F51" s="354">
        <f>F50/B49</f>
        <v>1.6650366748166257</v>
      </c>
      <c r="G51" s="354"/>
      <c r="H51" s="354">
        <f>H50/B49</f>
        <v>1.1100244498777505</v>
      </c>
      <c r="I51" s="354"/>
      <c r="J51" s="354">
        <f>J50/B49</f>
        <v>1.3875305623471879</v>
      </c>
      <c r="K51" s="354"/>
      <c r="L51" s="354">
        <f>L50/B49</f>
        <v>1.4430317848410756</v>
      </c>
      <c r="M51" s="354"/>
      <c r="N51" s="359">
        <f>N50/B49</f>
        <v>1.6650366748166257</v>
      </c>
      <c r="O51" s="354"/>
      <c r="P51" s="354">
        <f>P50/B49</f>
        <v>1.3042787286063564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J101"/>
  <sheetViews>
    <sheetView zoomScale="20" zoomScaleNormal="20" workbookViewId="0">
      <selection activeCell="F17" sqref="F17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46037</v>
      </c>
      <c r="E1" s="3" t="str">
        <f>TEXT(D1, "dddd")</f>
        <v>Thursday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>
        <v>0.75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333</v>
      </c>
      <c r="O4" s="447"/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/>
      <c r="E5" s="447"/>
      <c r="F5" s="444" t="s">
        <v>299</v>
      </c>
      <c r="G5" s="447"/>
      <c r="H5" s="444" t="s">
        <v>13</v>
      </c>
      <c r="I5" s="447" t="s">
        <v>39</v>
      </c>
      <c r="J5" s="444"/>
      <c r="K5" s="447"/>
      <c r="L5" s="451" t="s">
        <v>381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/>
      <c r="Q6" s="487"/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3</v>
      </c>
      <c r="H9" s="462">
        <v>2.5</v>
      </c>
      <c r="I9" s="460">
        <f>H9-I11</f>
        <v>2.5</v>
      </c>
      <c r="J9" s="461"/>
      <c r="K9" s="460">
        <v>2</v>
      </c>
      <c r="L9" s="461">
        <v>3</v>
      </c>
      <c r="M9" s="460">
        <f>L9-M11</f>
        <v>2.75</v>
      </c>
      <c r="N9" s="463">
        <v>3</v>
      </c>
      <c r="O9" s="460">
        <f>N9-O11</f>
        <v>3</v>
      </c>
      <c r="P9" s="454">
        <v>2.75</v>
      </c>
      <c r="Q9" s="464">
        <f>P9-Q11</f>
        <v>2.0499999999999998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0.25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50" t="s">
        <v>459</v>
      </c>
      <c r="E12" s="520" t="s">
        <v>59</v>
      </c>
      <c r="F12" s="541" t="s">
        <v>61</v>
      </c>
      <c r="G12" s="500" t="s">
        <v>475</v>
      </c>
      <c r="H12" s="543" t="s">
        <v>382</v>
      </c>
      <c r="I12" s="500" t="s">
        <v>203</v>
      </c>
      <c r="J12" s="521" t="s">
        <v>340</v>
      </c>
      <c r="K12" s="500" t="s">
        <v>328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489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3" t="s">
        <v>263</v>
      </c>
      <c r="C13" s="525" t="s">
        <v>78</v>
      </c>
      <c r="D13" s="550"/>
      <c r="E13" s="525"/>
      <c r="F13" s="550" t="s">
        <v>339</v>
      </c>
      <c r="G13" s="525" t="s">
        <v>386</v>
      </c>
      <c r="H13" s="542" t="s">
        <v>456</v>
      </c>
      <c r="I13" s="525" t="s">
        <v>78</v>
      </c>
      <c r="J13" s="542"/>
      <c r="K13" s="526"/>
      <c r="L13" s="542" t="s">
        <v>456</v>
      </c>
      <c r="M13" s="525" t="s">
        <v>87</v>
      </c>
      <c r="N13" s="543" t="s">
        <v>339</v>
      </c>
      <c r="O13" s="525" t="s">
        <v>78</v>
      </c>
      <c r="P13" s="543" t="s">
        <v>263</v>
      </c>
      <c r="Q13" s="525" t="s">
        <v>72</v>
      </c>
      <c r="R13" s="547" t="s">
        <v>474</v>
      </c>
      <c r="S13" s="545" t="s">
        <v>473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25"/>
      <c r="D14" s="543"/>
      <c r="E14" s="525"/>
      <c r="F14" s="542" t="s">
        <v>456</v>
      </c>
      <c r="G14" s="525" t="s">
        <v>72</v>
      </c>
      <c r="H14" s="550" t="s">
        <v>339</v>
      </c>
      <c r="I14" s="525" t="s">
        <v>87</v>
      </c>
      <c r="J14" s="543"/>
      <c r="K14" s="525"/>
      <c r="L14" s="543"/>
      <c r="M14" s="525"/>
      <c r="N14" s="542"/>
      <c r="O14" s="525"/>
      <c r="P14" s="550"/>
      <c r="Q14" s="525"/>
      <c r="R14" s="547" t="s">
        <v>403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50"/>
      <c r="C15" s="486"/>
      <c r="D15" s="542"/>
      <c r="E15" s="525"/>
      <c r="F15" s="550"/>
      <c r="G15" s="525"/>
      <c r="H15" s="541"/>
      <c r="I15" s="525"/>
      <c r="J15" s="550"/>
      <c r="K15" s="525"/>
      <c r="L15" s="543"/>
      <c r="M15" s="526"/>
      <c r="N15" s="550"/>
      <c r="P15" s="542"/>
      <c r="Q15" s="525"/>
      <c r="R15" s="547" t="s">
        <v>442</v>
      </c>
      <c r="S15" s="558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25"/>
      <c r="P16" s="509"/>
      <c r="Q16" s="487"/>
      <c r="R16" s="545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44" t="s">
        <v>263</v>
      </c>
      <c r="E17" s="489" t="s">
        <v>39</v>
      </c>
      <c r="F17" s="514" t="s">
        <v>315</v>
      </c>
      <c r="G17" s="490" t="s">
        <v>36</v>
      </c>
      <c r="H17" s="544"/>
      <c r="I17" s="491"/>
      <c r="J17" s="444"/>
      <c r="K17" s="447"/>
      <c r="L17" s="544" t="s">
        <v>314</v>
      </c>
      <c r="M17" s="570" t="s">
        <v>74</v>
      </c>
      <c r="N17" s="544"/>
      <c r="O17" s="491"/>
      <c r="P17" s="492" t="s">
        <v>54</v>
      </c>
      <c r="Q17" s="493">
        <v>0.4</v>
      </c>
      <c r="R17" s="605" t="s">
        <v>485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1.3448275862068966</v>
      </c>
      <c r="C18" s="495"/>
      <c r="D18" s="494">
        <f>D51</f>
        <v>0.89655172413793094</v>
      </c>
      <c r="E18" s="496"/>
      <c r="F18" s="494">
        <f>F51</f>
        <v>1.3448275862068966</v>
      </c>
      <c r="G18" s="495"/>
      <c r="H18" s="494">
        <f>H51</f>
        <v>1.1206896551724135</v>
      </c>
      <c r="I18" s="495"/>
      <c r="J18" s="497">
        <f>J51</f>
        <v>0.89655172413793094</v>
      </c>
      <c r="K18" s="495"/>
      <c r="L18" s="497">
        <f>L51</f>
        <v>1.2327586206896548</v>
      </c>
      <c r="M18" s="495"/>
      <c r="N18" s="494">
        <f>N51</f>
        <v>1.3448275862068966</v>
      </c>
      <c r="O18" s="496"/>
      <c r="P18" s="498">
        <f>P51</f>
        <v>0.91896551724137909</v>
      </c>
      <c r="Q18" s="496">
        <f>P18+Q17</f>
        <v>1.318965517241379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490</v>
      </c>
      <c r="D19" s="506"/>
      <c r="E19" s="507"/>
      <c r="F19" s="506" t="s">
        <v>344</v>
      </c>
      <c r="G19" s="501" t="s">
        <v>493</v>
      </c>
      <c r="H19" s="506"/>
      <c r="I19" s="507"/>
      <c r="J19" s="499"/>
      <c r="K19" s="500"/>
      <c r="L19" s="502" t="s">
        <v>370</v>
      </c>
      <c r="M19" s="500" t="s">
        <v>492</v>
      </c>
      <c r="N19" s="506" t="s">
        <v>494</v>
      </c>
      <c r="O19" s="507" t="s">
        <v>495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 t="s">
        <v>370</v>
      </c>
      <c r="C20" s="500" t="s">
        <v>491</v>
      </c>
      <c r="D20" s="499"/>
      <c r="E20" s="500"/>
      <c r="F20" s="505"/>
      <c r="G20" s="503"/>
      <c r="H20" s="506"/>
      <c r="I20" s="500"/>
      <c r="J20" s="499"/>
      <c r="K20" s="500"/>
      <c r="L20" s="502" t="s">
        <v>396</v>
      </c>
      <c r="M20" s="500" t="s">
        <v>496</v>
      </c>
      <c r="N20" s="502" t="s">
        <v>396</v>
      </c>
      <c r="O20" s="500" t="s">
        <v>497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11.699507389162562</v>
      </c>
      <c r="C30" s="218"/>
      <c r="D30" s="219">
        <f>D44</f>
        <v>-9.8669950738916299</v>
      </c>
      <c r="E30" s="220"/>
      <c r="F30" s="221">
        <f>F44</f>
        <v>10.699507389162562</v>
      </c>
      <c r="G30" s="221"/>
      <c r="H30" s="217">
        <f>H44</f>
        <v>-1.0837438423645409</v>
      </c>
      <c r="I30" s="218"/>
      <c r="J30" s="217">
        <f>J44</f>
        <v>-18.86699507389163</v>
      </c>
      <c r="K30" s="222"/>
      <c r="L30" s="217">
        <f>L44</f>
        <v>10.307881773399004</v>
      </c>
      <c r="M30" s="222"/>
      <c r="N30" s="217">
        <f>N44</f>
        <v>16.699507389162562</v>
      </c>
      <c r="O30" s="222"/>
      <c r="P30" s="152">
        <f>P44</f>
        <v>-19.588669950738925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34</v>
      </c>
      <c r="E31" s="532" t="s">
        <v>238</v>
      </c>
      <c r="F31" s="533"/>
      <c r="G31" s="534"/>
      <c r="H31" s="448" t="s">
        <v>47</v>
      </c>
      <c r="I31" s="532" t="s">
        <v>99</v>
      </c>
      <c r="J31" s="523" t="s">
        <v>14</v>
      </c>
      <c r="K31" s="532" t="s">
        <v>238</v>
      </c>
      <c r="L31" s="538"/>
      <c r="M31" s="534"/>
      <c r="N31" s="552" t="s">
        <v>337</v>
      </c>
      <c r="O31" s="554" t="s">
        <v>338</v>
      </c>
      <c r="P31" s="24" t="s">
        <v>32</v>
      </c>
      <c r="Q31" s="440" t="s">
        <v>472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 t="s">
        <v>332</v>
      </c>
      <c r="Q32" s="440" t="s">
        <v>242</v>
      </c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25.566502463054185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</v>
      </c>
      <c r="K43" s="299"/>
      <c r="L43" s="278">
        <f>M9</f>
        <v>2.75</v>
      </c>
      <c r="M43" s="299"/>
      <c r="N43" s="278">
        <f>O9</f>
        <v>3</v>
      </c>
      <c r="O43" s="299"/>
      <c r="P43" s="311">
        <f>Q9</f>
        <v>2.0499999999999998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11.699507389162562</v>
      </c>
      <c r="C44" s="295"/>
      <c r="D44" s="318">
        <f>B40/B41*D43-D45</f>
        <v>-9.8669950738916299</v>
      </c>
      <c r="E44" s="319"/>
      <c r="F44" s="318">
        <f>B40/B41*F43-F45</f>
        <v>10.699507389162562</v>
      </c>
      <c r="G44" s="320"/>
      <c r="H44" s="321">
        <f>B40/B41*H43-H45</f>
        <v>-1.0837438423645409</v>
      </c>
      <c r="I44" s="322"/>
      <c r="J44" s="321">
        <f>B40/B41*J43-J45</f>
        <v>-18.86699507389163</v>
      </c>
      <c r="K44" s="322"/>
      <c r="L44" s="321">
        <f>B40/B41*L43-L45</f>
        <v>10.307881773399004</v>
      </c>
      <c r="M44" s="322"/>
      <c r="N44" s="321">
        <f>B40/B41*N43-N45</f>
        <v>16.699507389162562</v>
      </c>
      <c r="O44" s="322"/>
      <c r="P44" s="311">
        <f>B40/B41*P43-P45</f>
        <v>-19.588669950738925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61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60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57.032967032967036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76.699507389162562</v>
      </c>
      <c r="C50" s="354"/>
      <c r="D50" s="354">
        <f>B42*D43</f>
        <v>51.13300492610837</v>
      </c>
      <c r="E50" s="354"/>
      <c r="F50" s="354">
        <f>B42*F43</f>
        <v>76.699507389162562</v>
      </c>
      <c r="G50" s="354"/>
      <c r="H50" s="359">
        <f>B42*H43</f>
        <v>63.916256157635459</v>
      </c>
      <c r="I50" s="354"/>
      <c r="J50" s="354">
        <f>B42*J43</f>
        <v>51.13300492610837</v>
      </c>
      <c r="K50" s="354"/>
      <c r="L50" s="354">
        <f>B42*L43</f>
        <v>70.307881773399004</v>
      </c>
      <c r="M50" s="354"/>
      <c r="N50" s="359">
        <f>B42*N43</f>
        <v>76.699507389162562</v>
      </c>
      <c r="O50" s="354"/>
      <c r="P50" s="354">
        <f>B42*P43</f>
        <v>52.411330049261075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1.3448275862068966</v>
      </c>
      <c r="C51" s="354"/>
      <c r="D51" s="354">
        <f>D50/B49</f>
        <v>0.89655172413793094</v>
      </c>
      <c r="E51" s="354"/>
      <c r="F51" s="354">
        <f>F50/B49</f>
        <v>1.3448275862068966</v>
      </c>
      <c r="G51" s="354"/>
      <c r="H51" s="354">
        <f>H50/B49</f>
        <v>1.1206896551724135</v>
      </c>
      <c r="I51" s="354"/>
      <c r="J51" s="354">
        <f>J50/B49</f>
        <v>0.89655172413793094</v>
      </c>
      <c r="K51" s="354"/>
      <c r="L51" s="354">
        <f>L50/B49</f>
        <v>1.2327586206896548</v>
      </c>
      <c r="M51" s="354"/>
      <c r="N51" s="359">
        <f>N50/B49</f>
        <v>1.3448275862068966</v>
      </c>
      <c r="O51" s="354"/>
      <c r="P51" s="354">
        <f>P50/B49</f>
        <v>0.91896551724137909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3.25</v>
      </c>
      <c r="H69" s="376">
        <v>0</v>
      </c>
      <c r="I69" s="377">
        <v>0</v>
      </c>
      <c r="J69" s="376">
        <f>SUM(C69:H69)</f>
        <v>4.9000000000000004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J101"/>
  <sheetViews>
    <sheetView zoomScale="20" zoomScaleNormal="20" workbookViewId="0">
      <selection activeCell="N19" sqref="N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46038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25</v>
      </c>
      <c r="E3" s="508"/>
      <c r="F3" s="446" t="s">
        <v>198</v>
      </c>
      <c r="G3" s="447"/>
      <c r="H3" s="444" t="s">
        <v>47</v>
      </c>
      <c r="I3" s="447" t="s">
        <v>53</v>
      </c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/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333</v>
      </c>
      <c r="O4" s="447"/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>
        <v>0.3</v>
      </c>
      <c r="D5" s="444"/>
      <c r="E5" s="447"/>
      <c r="F5" s="444" t="s">
        <v>299</v>
      </c>
      <c r="G5" s="447"/>
      <c r="H5" s="444" t="s">
        <v>37</v>
      </c>
      <c r="I5" s="447" t="s">
        <v>36</v>
      </c>
      <c r="J5" s="444" t="s">
        <v>486</v>
      </c>
      <c r="K5" s="447">
        <v>0.75</v>
      </c>
      <c r="L5" s="451" t="s">
        <v>381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 t="s">
        <v>13</v>
      </c>
      <c r="I6" s="447" t="s">
        <v>39</v>
      </c>
      <c r="J6" s="444"/>
      <c r="K6" s="447"/>
      <c r="L6" s="444"/>
      <c r="M6" s="445"/>
      <c r="N6" s="444"/>
      <c r="O6" s="446"/>
      <c r="P6" s="444" t="s">
        <v>471</v>
      </c>
      <c r="Q6" s="487" t="s">
        <v>498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2.2999999999999998</v>
      </c>
      <c r="D9" s="461"/>
      <c r="E9" s="460">
        <v>2</v>
      </c>
      <c r="F9" s="461"/>
      <c r="G9" s="460">
        <v>3</v>
      </c>
      <c r="H9" s="462">
        <v>3</v>
      </c>
      <c r="I9" s="460">
        <f>H9-I11</f>
        <v>2.6</v>
      </c>
      <c r="J9" s="461"/>
      <c r="K9" s="460">
        <v>2.75</v>
      </c>
      <c r="L9" s="461">
        <v>3</v>
      </c>
      <c r="M9" s="460">
        <f>L9-M11</f>
        <v>3</v>
      </c>
      <c r="N9" s="463">
        <v>3</v>
      </c>
      <c r="O9" s="460">
        <f>N9-O11</f>
        <v>3</v>
      </c>
      <c r="P9" s="454">
        <v>3.25</v>
      </c>
      <c r="Q9" s="464">
        <f>P9-Q11</f>
        <v>2.5499999999999998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50" t="s">
        <v>67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1" t="s">
        <v>340</v>
      </c>
      <c r="K12" s="500" t="s">
        <v>328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489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205</v>
      </c>
      <c r="C13" s="525" t="s">
        <v>87</v>
      </c>
      <c r="D13" s="550"/>
      <c r="E13" s="525"/>
      <c r="F13" s="542" t="s">
        <v>456</v>
      </c>
      <c r="G13" s="525" t="s">
        <v>36</v>
      </c>
      <c r="H13" s="550" t="s">
        <v>339</v>
      </c>
      <c r="I13" s="525" t="s">
        <v>87</v>
      </c>
      <c r="J13" s="577" t="s">
        <v>263</v>
      </c>
      <c r="K13" s="563" t="s">
        <v>87</v>
      </c>
      <c r="L13" s="550" t="s">
        <v>339</v>
      </c>
      <c r="M13" s="525" t="s">
        <v>72</v>
      </c>
      <c r="N13" s="550" t="s">
        <v>339</v>
      </c>
      <c r="O13" s="525" t="s">
        <v>248</v>
      </c>
      <c r="P13" s="577" t="s">
        <v>263</v>
      </c>
      <c r="Q13" s="563" t="s">
        <v>225</v>
      </c>
      <c r="R13" s="547" t="s">
        <v>75</v>
      </c>
      <c r="S13" s="545" t="s">
        <v>66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25"/>
      <c r="D14" s="543"/>
      <c r="E14" s="525"/>
      <c r="F14" s="543"/>
      <c r="G14" s="525"/>
      <c r="H14" s="550"/>
      <c r="I14" s="525"/>
      <c r="J14" s="46"/>
      <c r="L14" s="542" t="s">
        <v>456</v>
      </c>
      <c r="M14" s="525" t="s">
        <v>504</v>
      </c>
      <c r="N14" s="543"/>
      <c r="O14" s="525"/>
      <c r="P14" s="550"/>
      <c r="Q14" s="525"/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50"/>
      <c r="C15" s="486"/>
      <c r="D15" s="542"/>
      <c r="E15" s="525"/>
      <c r="F15" s="543"/>
      <c r="G15" s="525"/>
      <c r="H15" s="541"/>
      <c r="I15" s="525"/>
      <c r="J15" s="550"/>
      <c r="K15" s="525"/>
      <c r="L15" s="543"/>
      <c r="M15" s="526"/>
      <c r="N15" s="550"/>
      <c r="P15" s="542"/>
      <c r="Q15" s="525"/>
      <c r="R15" s="547" t="s">
        <v>488</v>
      </c>
      <c r="S15" s="558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50"/>
      <c r="K16" s="447"/>
      <c r="L16" s="513"/>
      <c r="M16" s="447"/>
      <c r="N16" s="509"/>
      <c r="O16" s="525"/>
      <c r="P16" s="509"/>
      <c r="Q16" s="487"/>
      <c r="R16" s="545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 t="s">
        <v>314</v>
      </c>
      <c r="I17" s="570" t="s">
        <v>74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485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1.1499999999999999</v>
      </c>
      <c r="C18" s="495"/>
      <c r="D18" s="494">
        <f>D51</f>
        <v>1</v>
      </c>
      <c r="E18" s="496"/>
      <c r="F18" s="494">
        <f>F51</f>
        <v>1.5</v>
      </c>
      <c r="G18" s="495"/>
      <c r="H18" s="494">
        <f>H51</f>
        <v>1.3</v>
      </c>
      <c r="I18" s="495"/>
      <c r="J18" s="497">
        <f>J51</f>
        <v>1.375</v>
      </c>
      <c r="K18" s="495"/>
      <c r="L18" s="497">
        <f>L51</f>
        <v>1.5</v>
      </c>
      <c r="M18" s="495"/>
      <c r="N18" s="494">
        <f>N51</f>
        <v>1.5</v>
      </c>
      <c r="O18" s="496"/>
      <c r="P18" s="498">
        <f>P51</f>
        <v>1.2749999999999999</v>
      </c>
      <c r="Q18" s="496">
        <f>P18+Q17</f>
        <v>1.6749999999999998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370</v>
      </c>
      <c r="G19" s="501" t="s">
        <v>510</v>
      </c>
      <c r="H19" s="506"/>
      <c r="I19" s="507"/>
      <c r="J19" s="499"/>
      <c r="K19" s="500"/>
      <c r="L19" s="502" t="s">
        <v>350</v>
      </c>
      <c r="M19" s="500" t="s">
        <v>513</v>
      </c>
      <c r="N19" s="502" t="s">
        <v>425</v>
      </c>
      <c r="O19" s="500" t="s">
        <v>511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5" t="s">
        <v>346</v>
      </c>
      <c r="G20" s="503" t="s">
        <v>508</v>
      </c>
      <c r="H20" s="506"/>
      <c r="I20" s="500"/>
      <c r="J20" s="499"/>
      <c r="K20" s="500"/>
      <c r="L20" s="502" t="s">
        <v>494</v>
      </c>
      <c r="M20" s="500" t="s">
        <v>509</v>
      </c>
      <c r="N20" s="502" t="s">
        <v>422</v>
      </c>
      <c r="O20" s="500" t="s">
        <v>512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-9.2358490566037759</v>
      </c>
      <c r="C30" s="218"/>
      <c r="D30" s="219">
        <f>D44</f>
        <v>-12.509433962264147</v>
      </c>
      <c r="E30" s="220"/>
      <c r="F30" s="221">
        <f>F44</f>
        <v>6.735849056603783</v>
      </c>
      <c r="G30" s="221"/>
      <c r="H30" s="217">
        <f>H44</f>
        <v>-1.9622641509433905</v>
      </c>
      <c r="I30" s="218"/>
      <c r="J30" s="217">
        <f>J44</f>
        <v>-3.3254716981132049</v>
      </c>
      <c r="K30" s="222"/>
      <c r="L30" s="217">
        <f>L44</f>
        <v>12.735849056603783</v>
      </c>
      <c r="M30" s="222"/>
      <c r="N30" s="217">
        <f>N44</f>
        <v>12.735849056603783</v>
      </c>
      <c r="O30" s="222"/>
      <c r="P30" s="152">
        <f>P44</f>
        <v>-5.1745283018867951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33</v>
      </c>
      <c r="C31" s="532" t="s">
        <v>487</v>
      </c>
      <c r="D31" s="523" t="s">
        <v>34</v>
      </c>
      <c r="E31" s="532" t="s">
        <v>238</v>
      </c>
      <c r="F31" s="533"/>
      <c r="G31" s="534"/>
      <c r="H31" s="448"/>
      <c r="I31" s="532"/>
      <c r="J31" s="523" t="s">
        <v>14</v>
      </c>
      <c r="K31" s="532" t="s">
        <v>238</v>
      </c>
      <c r="L31" s="538"/>
      <c r="M31" s="534"/>
      <c r="N31" s="552" t="s">
        <v>337</v>
      </c>
      <c r="O31" s="554" t="s">
        <v>338</v>
      </c>
      <c r="P31" s="24" t="s">
        <v>332</v>
      </c>
      <c r="Q31" s="440" t="s">
        <v>242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 t="s">
        <v>506</v>
      </c>
      <c r="K32" s="229" t="s">
        <v>507</v>
      </c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514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21.2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24.245283018867926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2.2999999999999998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2.6</v>
      </c>
      <c r="I43" s="299"/>
      <c r="J43" s="278">
        <f>K9</f>
        <v>2.75</v>
      </c>
      <c r="K43" s="299"/>
      <c r="L43" s="278">
        <f>M9</f>
        <v>3</v>
      </c>
      <c r="M43" s="299"/>
      <c r="N43" s="278">
        <f>O9</f>
        <v>3</v>
      </c>
      <c r="O43" s="299"/>
      <c r="P43" s="311">
        <f>Q9</f>
        <v>2.5499999999999998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-9.2358490566037759</v>
      </c>
      <c r="C44" s="295"/>
      <c r="D44" s="318">
        <f>B40/B41*D43-D45</f>
        <v>-12.509433962264147</v>
      </c>
      <c r="E44" s="319"/>
      <c r="F44" s="318">
        <f>B40/B41*F43-F45</f>
        <v>6.735849056603783</v>
      </c>
      <c r="G44" s="320"/>
      <c r="H44" s="321">
        <f>B40/B41*H43-H45</f>
        <v>-1.9622641509433905</v>
      </c>
      <c r="I44" s="322"/>
      <c r="J44" s="321">
        <f>B40/B41*J43-J45</f>
        <v>-3.3254716981132049</v>
      </c>
      <c r="K44" s="322"/>
      <c r="L44" s="321">
        <f>B40/B41*L43-L45</f>
        <v>12.735849056603783</v>
      </c>
      <c r="M44" s="322"/>
      <c r="N44" s="321">
        <f>B40/B41*N43-N45</f>
        <v>12.735849056603783</v>
      </c>
      <c r="O44" s="322"/>
      <c r="P44" s="311">
        <f>B40/B41*P43-P45</f>
        <v>-5.1745283018867951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61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60</v>
      </c>
      <c r="O45" s="322"/>
      <c r="P45" s="334">
        <v>67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48.490566037735853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55.764150943396224</v>
      </c>
      <c r="C50" s="354"/>
      <c r="D50" s="354">
        <f>B42*D43</f>
        <v>48.490566037735853</v>
      </c>
      <c r="E50" s="354"/>
      <c r="F50" s="354">
        <f>B42*F43</f>
        <v>72.735849056603783</v>
      </c>
      <c r="G50" s="354"/>
      <c r="H50" s="359">
        <f>B42*H43</f>
        <v>63.03773584905661</v>
      </c>
      <c r="I50" s="354"/>
      <c r="J50" s="354">
        <f>B42*J43</f>
        <v>66.674528301886795</v>
      </c>
      <c r="K50" s="354"/>
      <c r="L50" s="354">
        <f>B42*L43</f>
        <v>72.735849056603783</v>
      </c>
      <c r="M50" s="354"/>
      <c r="N50" s="359">
        <f>B42*N43</f>
        <v>72.735849056603783</v>
      </c>
      <c r="O50" s="354"/>
      <c r="P50" s="354">
        <f>B42*P43</f>
        <v>61.825471698113205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1.1499999999999999</v>
      </c>
      <c r="C51" s="354"/>
      <c r="D51" s="354">
        <f>D50/B49</f>
        <v>1</v>
      </c>
      <c r="E51" s="354"/>
      <c r="F51" s="354">
        <f>F50/B49</f>
        <v>1.5</v>
      </c>
      <c r="G51" s="354"/>
      <c r="H51" s="354">
        <f>H50/B49</f>
        <v>1.3</v>
      </c>
      <c r="I51" s="354"/>
      <c r="J51" s="354">
        <f>J50/B49</f>
        <v>1.375</v>
      </c>
      <c r="K51" s="354"/>
      <c r="L51" s="354">
        <f>L50/B49</f>
        <v>1.5</v>
      </c>
      <c r="M51" s="354"/>
      <c r="N51" s="359">
        <f>N50/B49</f>
        <v>1.5</v>
      </c>
      <c r="O51" s="354"/>
      <c r="P51" s="354">
        <f>P50/B49</f>
        <v>1.2749999999999999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J101"/>
  <sheetViews>
    <sheetView zoomScale="20" zoomScaleNormal="20" workbookViewId="0">
      <selection activeCell="E19" sqref="E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46041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299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>
        <v>0.75</v>
      </c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 t="s">
        <v>42</v>
      </c>
      <c r="E5" s="447" t="s">
        <v>39</v>
      </c>
      <c r="F5" s="444"/>
      <c r="G5" s="447"/>
      <c r="H5" s="444"/>
      <c r="I5" s="447"/>
      <c r="J5" s="444" t="s">
        <v>14</v>
      </c>
      <c r="K5" s="447"/>
      <c r="L5" s="451" t="s">
        <v>381</v>
      </c>
      <c r="M5" s="447"/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332</v>
      </c>
      <c r="Q6" s="487">
        <v>0.75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2.5</v>
      </c>
      <c r="F9" s="461"/>
      <c r="G9" s="460">
        <v>2</v>
      </c>
      <c r="H9" s="462">
        <v>2</v>
      </c>
      <c r="I9" s="460">
        <f>H9-I11</f>
        <v>2</v>
      </c>
      <c r="J9" s="461"/>
      <c r="K9" s="460">
        <v>3</v>
      </c>
      <c r="L9" s="461">
        <v>3</v>
      </c>
      <c r="M9" s="460">
        <f>L9-M11</f>
        <v>2.6</v>
      </c>
      <c r="N9" s="463">
        <v>2.5</v>
      </c>
      <c r="O9" s="460">
        <f>N9-O11</f>
        <v>2.5</v>
      </c>
      <c r="P9" s="454">
        <v>3</v>
      </c>
      <c r="Q9" s="464">
        <f>P9-Q11</f>
        <v>2.2999999999999998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0.4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79" t="s">
        <v>501</v>
      </c>
      <c r="K12" s="563" t="s">
        <v>39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190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456</v>
      </c>
      <c r="C13" s="525" t="s">
        <v>39</v>
      </c>
      <c r="D13" s="562" t="s">
        <v>459</v>
      </c>
      <c r="E13" s="563" t="s">
        <v>87</v>
      </c>
      <c r="F13" s="550"/>
      <c r="G13" s="525"/>
      <c r="H13" s="550" t="s">
        <v>340</v>
      </c>
      <c r="I13" s="525" t="s">
        <v>87</v>
      </c>
      <c r="J13" s="550" t="s">
        <v>456</v>
      </c>
      <c r="K13" s="525" t="s">
        <v>36</v>
      </c>
      <c r="L13" s="550" t="s">
        <v>340</v>
      </c>
      <c r="M13" s="525" t="s">
        <v>386</v>
      </c>
      <c r="N13" s="542" t="s">
        <v>339</v>
      </c>
      <c r="O13" s="525" t="s">
        <v>505</v>
      </c>
      <c r="P13" s="562" t="s">
        <v>359</v>
      </c>
      <c r="Q13" s="563" t="s">
        <v>194</v>
      </c>
      <c r="R13" s="547" t="s">
        <v>75</v>
      </c>
      <c r="S13" s="545" t="s">
        <v>515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 t="s">
        <v>340</v>
      </c>
      <c r="C14" s="525" t="s">
        <v>78</v>
      </c>
      <c r="D14" s="550"/>
      <c r="E14" s="500"/>
      <c r="F14" s="550"/>
      <c r="G14" s="525"/>
      <c r="H14" s="550"/>
      <c r="I14" s="525"/>
      <c r="J14" s="542" t="s">
        <v>339</v>
      </c>
      <c r="K14" s="525" t="s">
        <v>74</v>
      </c>
      <c r="L14" s="550"/>
      <c r="M14" s="525"/>
      <c r="N14" s="543"/>
      <c r="O14" s="525"/>
      <c r="P14" s="562" t="s">
        <v>459</v>
      </c>
      <c r="Q14" s="563" t="s">
        <v>74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50"/>
      <c r="C15" s="486"/>
      <c r="D15" s="542"/>
      <c r="E15" s="525"/>
      <c r="F15" s="543"/>
      <c r="G15" s="525"/>
      <c r="H15" s="541"/>
      <c r="I15" s="525"/>
      <c r="J15" s="562" t="s">
        <v>459</v>
      </c>
      <c r="K15" s="563" t="s">
        <v>36</v>
      </c>
      <c r="L15" s="542"/>
      <c r="M15" s="525"/>
      <c r="N15" s="550"/>
      <c r="P15" s="580"/>
      <c r="Q15" s="500"/>
      <c r="R15" s="547" t="s">
        <v>63</v>
      </c>
      <c r="S15" s="545" t="s">
        <v>502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80"/>
      <c r="K16" s="26"/>
      <c r="L16" s="550"/>
      <c r="M16" s="500"/>
      <c r="N16" s="509"/>
      <c r="O16" s="525"/>
      <c r="P16" s="509"/>
      <c r="Q16" s="487"/>
      <c r="R16" s="545" t="s">
        <v>312</v>
      </c>
      <c r="S16" s="576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78" t="s">
        <v>263</v>
      </c>
      <c r="E17" s="489" t="s">
        <v>74</v>
      </c>
      <c r="F17" s="578" t="s">
        <v>263</v>
      </c>
      <c r="G17" s="490" t="s">
        <v>78</v>
      </c>
      <c r="H17" s="544"/>
      <c r="I17" s="570"/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514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1.7110552763819094</v>
      </c>
      <c r="C18" s="495"/>
      <c r="D18" s="494">
        <f>D51</f>
        <v>1.4258793969849244</v>
      </c>
      <c r="E18" s="496"/>
      <c r="F18" s="494">
        <f>F51</f>
        <v>1.1407035175879394</v>
      </c>
      <c r="G18" s="495"/>
      <c r="H18" s="494">
        <f>H51</f>
        <v>1.1407035175879394</v>
      </c>
      <c r="I18" s="495"/>
      <c r="J18" s="497">
        <f>J51</f>
        <v>1.7110552763819094</v>
      </c>
      <c r="K18" s="495"/>
      <c r="L18" s="497">
        <f>L51</f>
        <v>1.4829145728643214</v>
      </c>
      <c r="M18" s="495"/>
      <c r="N18" s="494">
        <f>N51</f>
        <v>1.4258793969849244</v>
      </c>
      <c r="O18" s="496"/>
      <c r="P18" s="498">
        <f>P51</f>
        <v>1.3118090452261304</v>
      </c>
      <c r="Q18" s="496">
        <f>P18+Q17</f>
        <v>1.7118090452261305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521</v>
      </c>
      <c r="C19" s="507" t="s">
        <v>522</v>
      </c>
      <c r="D19" s="506" t="s">
        <v>445</v>
      </c>
      <c r="E19" s="507" t="s">
        <v>518</v>
      </c>
      <c r="F19" s="506"/>
      <c r="G19" s="501"/>
      <c r="H19" s="506"/>
      <c r="I19" s="507"/>
      <c r="J19" s="506" t="s">
        <v>370</v>
      </c>
      <c r="K19" s="507" t="s">
        <v>520</v>
      </c>
      <c r="L19" s="502" t="s">
        <v>390</v>
      </c>
      <c r="M19" s="500" t="s">
        <v>516</v>
      </c>
      <c r="N19" s="506" t="s">
        <v>373</v>
      </c>
      <c r="O19" s="507" t="s">
        <v>517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0"/>
      <c r="C20" s="500"/>
      <c r="D20" s="499"/>
      <c r="E20" s="500"/>
      <c r="F20" s="505"/>
      <c r="G20" s="503"/>
      <c r="H20" s="506"/>
      <c r="I20" s="500"/>
      <c r="J20" s="506" t="s">
        <v>445</v>
      </c>
      <c r="K20" s="500" t="s">
        <v>519</v>
      </c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13.241206030150749</v>
      </c>
      <c r="C30" s="218"/>
      <c r="D30" s="219">
        <f>D44</f>
        <v>4.2010050251256246</v>
      </c>
      <c r="E30" s="220"/>
      <c r="F30" s="221">
        <f>F44</f>
        <v>-13.8391959798995</v>
      </c>
      <c r="G30" s="221"/>
      <c r="H30" s="217">
        <f>H44</f>
        <v>-12.8391959798995</v>
      </c>
      <c r="I30" s="218"/>
      <c r="J30" s="217">
        <f>J44</f>
        <v>8.2412060301507495</v>
      </c>
      <c r="K30" s="222"/>
      <c r="L30" s="217">
        <f>L44</f>
        <v>7.8090452261306496</v>
      </c>
      <c r="M30" s="222"/>
      <c r="N30" s="217">
        <f>N44</f>
        <v>5.2010050251256246</v>
      </c>
      <c r="O30" s="222"/>
      <c r="P30" s="152">
        <f>P44</f>
        <v>-12.015075376884433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238</v>
      </c>
      <c r="F31" s="533" t="s">
        <v>198</v>
      </c>
      <c r="G31" s="534" t="s">
        <v>99</v>
      </c>
      <c r="H31" s="448" t="s">
        <v>47</v>
      </c>
      <c r="I31" s="532" t="s">
        <v>238</v>
      </c>
      <c r="J31" s="523"/>
      <c r="K31" s="532"/>
      <c r="L31" s="538"/>
      <c r="M31" s="534"/>
      <c r="N31" s="552" t="s">
        <v>337</v>
      </c>
      <c r="O31" s="554" t="s">
        <v>338</v>
      </c>
      <c r="P31" s="24" t="s">
        <v>28</v>
      </c>
      <c r="Q31" s="440" t="s">
        <v>499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19.900000000000002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26.08040201005025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2.5</v>
      </c>
      <c r="E43" s="297"/>
      <c r="F43" s="296">
        <f>G9</f>
        <v>2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2.5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13.241206030150749</v>
      </c>
      <c r="C44" s="295"/>
      <c r="D44" s="318">
        <f>B40/B41*D43-D45</f>
        <v>4.2010050251256246</v>
      </c>
      <c r="E44" s="319"/>
      <c r="F44" s="318">
        <f>B40/B41*F43-F45</f>
        <v>-13.8391959798995</v>
      </c>
      <c r="G44" s="320"/>
      <c r="H44" s="321">
        <f>B40/B41*H43-H45</f>
        <v>-12.8391959798995</v>
      </c>
      <c r="I44" s="322"/>
      <c r="J44" s="321">
        <f>B40/B41*J43-J45</f>
        <v>8.2412060301507495</v>
      </c>
      <c r="K44" s="322"/>
      <c r="L44" s="321">
        <f>B40/B41*L43-L45</f>
        <v>7.8090452261306496</v>
      </c>
      <c r="M44" s="322"/>
      <c r="N44" s="321">
        <f>B40/B41*N43-N45</f>
        <v>5.2010050251256246</v>
      </c>
      <c r="O44" s="322"/>
      <c r="P44" s="311">
        <f>B40/B41*P43-P45</f>
        <v>-12.015075376884433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61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60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45.72687224669604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78.241206030150749</v>
      </c>
      <c r="C50" s="354"/>
      <c r="D50" s="354">
        <f>B42*D43</f>
        <v>65.201005025125625</v>
      </c>
      <c r="E50" s="354"/>
      <c r="F50" s="354">
        <f>B42*F43</f>
        <v>52.1608040201005</v>
      </c>
      <c r="G50" s="354"/>
      <c r="H50" s="359">
        <f>B42*H43</f>
        <v>52.1608040201005</v>
      </c>
      <c r="I50" s="354"/>
      <c r="J50" s="354">
        <f>B42*J43</f>
        <v>78.241206030150749</v>
      </c>
      <c r="K50" s="354"/>
      <c r="L50" s="354">
        <f>B42*L43</f>
        <v>67.80904522613065</v>
      </c>
      <c r="M50" s="354"/>
      <c r="N50" s="359">
        <f>B42*N43</f>
        <v>65.201005025125625</v>
      </c>
      <c r="O50" s="354"/>
      <c r="P50" s="354">
        <f>B42*P43</f>
        <v>59.984924623115567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1.7110552763819094</v>
      </c>
      <c r="C51" s="354"/>
      <c r="D51" s="354">
        <f>D50/B49</f>
        <v>1.4258793969849244</v>
      </c>
      <c r="E51" s="354"/>
      <c r="F51" s="354">
        <f>F50/B49</f>
        <v>1.1407035175879394</v>
      </c>
      <c r="G51" s="354"/>
      <c r="H51" s="354">
        <f>H50/B49</f>
        <v>1.1407035175879394</v>
      </c>
      <c r="I51" s="354"/>
      <c r="J51" s="354">
        <f>J50/B49</f>
        <v>1.7110552763819094</v>
      </c>
      <c r="K51" s="354"/>
      <c r="L51" s="354">
        <f>L50/B49</f>
        <v>1.4829145728643214</v>
      </c>
      <c r="M51" s="354"/>
      <c r="N51" s="359">
        <f>N50/B49</f>
        <v>1.4258793969849244</v>
      </c>
      <c r="O51" s="354"/>
      <c r="P51" s="354">
        <f>P50/B49</f>
        <v>1.3118090452261304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</v>
      </c>
      <c r="F69" s="376">
        <f>Q17</f>
        <v>0.4</v>
      </c>
      <c r="G69" s="380">
        <v>1.75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J101"/>
  <sheetViews>
    <sheetView tabSelected="1" zoomScale="20" zoomScaleNormal="20" workbookViewId="0">
      <selection activeCell="AC21" sqref="AC21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46042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299</v>
      </c>
      <c r="G3" s="447"/>
      <c r="H3" s="444" t="s">
        <v>37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/>
      <c r="E5" s="447"/>
      <c r="F5" s="444"/>
      <c r="G5" s="447"/>
      <c r="H5" s="444"/>
      <c r="I5" s="447"/>
      <c r="J5" s="444" t="s">
        <v>14</v>
      </c>
      <c r="K5" s="447"/>
      <c r="L5" s="444" t="s">
        <v>13</v>
      </c>
      <c r="M5" s="447" t="s">
        <v>39</v>
      </c>
      <c r="N5" s="444" t="s">
        <v>323</v>
      </c>
      <c r="O5" s="447"/>
      <c r="P5" s="444" t="s">
        <v>50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332</v>
      </c>
      <c r="Q6" s="487">
        <v>0.75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2</v>
      </c>
      <c r="H9" s="462">
        <v>2</v>
      </c>
      <c r="I9" s="460">
        <f>H9-I11</f>
        <v>2</v>
      </c>
      <c r="J9" s="461"/>
      <c r="K9" s="460">
        <v>3</v>
      </c>
      <c r="L9" s="461">
        <v>2.5</v>
      </c>
      <c r="M9" s="460">
        <f>L9-M11</f>
        <v>2.1</v>
      </c>
      <c r="N9" s="463">
        <v>2.5</v>
      </c>
      <c r="O9" s="460">
        <f>N9-O11</f>
        <v>2.5</v>
      </c>
      <c r="P9" s="454">
        <v>3.25</v>
      </c>
      <c r="Q9" s="464">
        <f>P9-Q11</f>
        <v>2.5499999999999998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0.4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262</v>
      </c>
      <c r="K12" s="500" t="s">
        <v>328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190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459</v>
      </c>
      <c r="C13" s="525" t="s">
        <v>39</v>
      </c>
      <c r="D13" s="550"/>
      <c r="E13" s="525"/>
      <c r="F13" s="550"/>
      <c r="G13" s="525"/>
      <c r="H13" s="543"/>
      <c r="I13" s="525"/>
      <c r="J13" s="542" t="s">
        <v>459</v>
      </c>
      <c r="K13" s="525" t="s">
        <v>36</v>
      </c>
      <c r="L13" s="542" t="s">
        <v>339</v>
      </c>
      <c r="M13" s="525" t="s">
        <v>74</v>
      </c>
      <c r="N13" s="542" t="s">
        <v>339</v>
      </c>
      <c r="O13" s="525" t="s">
        <v>261</v>
      </c>
      <c r="P13" s="550" t="s">
        <v>339</v>
      </c>
      <c r="Q13" s="500" t="s">
        <v>72</v>
      </c>
      <c r="R13" s="547" t="s">
        <v>75</v>
      </c>
      <c r="S13" s="558" t="s">
        <v>515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 t="s">
        <v>456</v>
      </c>
      <c r="C14" s="575" t="s">
        <v>78</v>
      </c>
      <c r="D14" s="543"/>
      <c r="E14" s="525"/>
      <c r="F14" s="542"/>
      <c r="G14" s="525"/>
      <c r="H14" s="542"/>
      <c r="I14" s="525"/>
      <c r="J14" s="543" t="s">
        <v>263</v>
      </c>
      <c r="K14" s="525" t="s">
        <v>87</v>
      </c>
      <c r="L14" s="543"/>
      <c r="M14" s="525"/>
      <c r="N14" s="543"/>
      <c r="O14" s="525"/>
      <c r="P14" s="542" t="s">
        <v>456</v>
      </c>
      <c r="Q14" s="525" t="s">
        <v>386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1"/>
      <c r="I15" s="525"/>
      <c r="J15" s="542"/>
      <c r="K15" s="525"/>
      <c r="L15" s="543"/>
      <c r="M15" s="526"/>
      <c r="N15" s="550"/>
      <c r="P15" s="543"/>
      <c r="Q15" s="525"/>
      <c r="R15" s="547" t="s">
        <v>442</v>
      </c>
      <c r="S15" s="558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78" t="s">
        <v>55</v>
      </c>
      <c r="E17" s="489" t="s">
        <v>74</v>
      </c>
      <c r="F17" s="578" t="s">
        <v>55</v>
      </c>
      <c r="G17" s="490" t="s">
        <v>36</v>
      </c>
      <c r="H17" s="544"/>
      <c r="I17" s="570"/>
      <c r="J17" s="444"/>
      <c r="K17" s="447"/>
      <c r="L17" s="544" t="s">
        <v>314</v>
      </c>
      <c r="M17" s="570" t="s">
        <v>87</v>
      </c>
      <c r="N17" s="544"/>
      <c r="O17" s="491"/>
      <c r="P17" s="492" t="s">
        <v>54</v>
      </c>
      <c r="Q17" s="493">
        <v>0.4</v>
      </c>
      <c r="R17" s="605" t="s">
        <v>503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1.6605744125326367</v>
      </c>
      <c r="C18" s="495"/>
      <c r="D18" s="494">
        <f>D51</f>
        <v>1.1070496083550911</v>
      </c>
      <c r="E18" s="496"/>
      <c r="F18" s="494">
        <f>F51</f>
        <v>1.1070496083550911</v>
      </c>
      <c r="G18" s="495"/>
      <c r="H18" s="494">
        <f>H51</f>
        <v>1.1070496083550911</v>
      </c>
      <c r="I18" s="495"/>
      <c r="J18" s="497">
        <f>J51</f>
        <v>1.6605744125326367</v>
      </c>
      <c r="K18" s="495"/>
      <c r="L18" s="497">
        <f>L51</f>
        <v>1.1624020887728459</v>
      </c>
      <c r="M18" s="495"/>
      <c r="N18" s="494">
        <f>N51</f>
        <v>1.3838120104438638</v>
      </c>
      <c r="O18" s="496"/>
      <c r="P18" s="498">
        <f>P51</f>
        <v>1.4114882506527411</v>
      </c>
      <c r="Q18" s="496">
        <f>P18+Q17</f>
        <v>1.811488250652741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521</v>
      </c>
      <c r="C19" s="507" t="s">
        <v>529</v>
      </c>
      <c r="D19" s="506"/>
      <c r="E19" s="507"/>
      <c r="F19" s="506"/>
      <c r="G19" s="501"/>
      <c r="H19" s="506"/>
      <c r="I19" s="507"/>
      <c r="J19" s="499" t="s">
        <v>390</v>
      </c>
      <c r="K19" s="500" t="s">
        <v>526</v>
      </c>
      <c r="L19" s="502"/>
      <c r="M19" s="500"/>
      <c r="N19" s="506" t="s">
        <v>527</v>
      </c>
      <c r="O19" s="507" t="s">
        <v>528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 t="s">
        <v>445</v>
      </c>
      <c r="C20" s="500" t="s">
        <v>523</v>
      </c>
      <c r="D20" s="499"/>
      <c r="E20" s="500"/>
      <c r="F20" s="505"/>
      <c r="G20" s="503"/>
      <c r="H20" s="506"/>
      <c r="I20" s="500"/>
      <c r="J20" s="499" t="s">
        <v>387</v>
      </c>
      <c r="K20" s="500" t="s">
        <v>525</v>
      </c>
      <c r="L20" s="502"/>
      <c r="M20" s="500"/>
      <c r="N20" s="502" t="s">
        <v>373</v>
      </c>
      <c r="O20" s="500" t="s">
        <v>517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 t="s">
        <v>387</v>
      </c>
      <c r="C21" s="524" t="s">
        <v>524</v>
      </c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16.305483028720616</v>
      </c>
      <c r="C30" s="218"/>
      <c r="D30" s="219">
        <f>D44</f>
        <v>-6.7963446475195894</v>
      </c>
      <c r="E30" s="220"/>
      <c r="F30" s="221">
        <f>F44</f>
        <v>-11.796344647519589</v>
      </c>
      <c r="G30" s="221"/>
      <c r="H30" s="217">
        <f>H44</f>
        <v>-10.796344647519589</v>
      </c>
      <c r="I30" s="218"/>
      <c r="J30" s="217">
        <f>J44</f>
        <v>11.305483028720616</v>
      </c>
      <c r="K30" s="222"/>
      <c r="L30" s="217">
        <f>L44</f>
        <v>-3.0861618798955632</v>
      </c>
      <c r="M30" s="222"/>
      <c r="N30" s="217">
        <f>N44</f>
        <v>7.7545691906005061</v>
      </c>
      <c r="O30" s="222"/>
      <c r="P30" s="152">
        <f>P44</f>
        <v>-2.8903394255874844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 t="s">
        <v>198</v>
      </c>
      <c r="G31" s="534" t="s">
        <v>99</v>
      </c>
      <c r="H31" s="448" t="s">
        <v>47</v>
      </c>
      <c r="I31" s="532" t="s">
        <v>238</v>
      </c>
      <c r="J31" s="523"/>
      <c r="K31" s="532"/>
      <c r="L31" s="538"/>
      <c r="M31" s="534"/>
      <c r="N31" s="552" t="s">
        <v>337</v>
      </c>
      <c r="O31" s="554" t="s">
        <v>338</v>
      </c>
      <c r="P31" s="24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19.150000000000002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27.101827676240205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2.1</v>
      </c>
      <c r="M43" s="299"/>
      <c r="N43" s="278">
        <f>O9</f>
        <v>2.5</v>
      </c>
      <c r="O43" s="299"/>
      <c r="P43" s="311">
        <f>Q9</f>
        <v>2.5499999999999998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16.305483028720616</v>
      </c>
      <c r="C44" s="295"/>
      <c r="D44" s="318">
        <f>B40/B41*D43-D45</f>
        <v>-6.7963446475195894</v>
      </c>
      <c r="E44" s="319"/>
      <c r="F44" s="318">
        <f>B40/B41*F43-F45</f>
        <v>-11.796344647519589</v>
      </c>
      <c r="G44" s="320"/>
      <c r="H44" s="321">
        <f>B40/B41*H43-H45</f>
        <v>-10.796344647519589</v>
      </c>
      <c r="I44" s="322"/>
      <c r="J44" s="321">
        <f>B40/B41*J43-J45</f>
        <v>11.305483028720616</v>
      </c>
      <c r="K44" s="322"/>
      <c r="L44" s="321">
        <f>B40/B41*L43-L45</f>
        <v>-3.0861618798955632</v>
      </c>
      <c r="M44" s="322"/>
      <c r="N44" s="321">
        <f>B40/B41*N43-N45</f>
        <v>7.7545691906005061</v>
      </c>
      <c r="O44" s="322"/>
      <c r="P44" s="311">
        <f>B40/B41*P43-P45</f>
        <v>-2.8903394255874844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61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60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48.962264150943398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81.305483028720616</v>
      </c>
      <c r="C50" s="354"/>
      <c r="D50" s="354">
        <f>B42*D43</f>
        <v>54.203655352480411</v>
      </c>
      <c r="E50" s="354"/>
      <c r="F50" s="354">
        <f>B42*F43</f>
        <v>54.203655352480411</v>
      </c>
      <c r="G50" s="354"/>
      <c r="H50" s="359">
        <f>B42*H43</f>
        <v>54.203655352480411</v>
      </c>
      <c r="I50" s="354"/>
      <c r="J50" s="354">
        <f>B42*J43</f>
        <v>81.305483028720616</v>
      </c>
      <c r="K50" s="354"/>
      <c r="L50" s="354">
        <f>B42*L43</f>
        <v>56.913838120104437</v>
      </c>
      <c r="M50" s="354"/>
      <c r="N50" s="359">
        <f>B42*N43</f>
        <v>67.754569190600506</v>
      </c>
      <c r="O50" s="354"/>
      <c r="P50" s="354">
        <f>B42*P43</f>
        <v>69.109660574412516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1.6605744125326367</v>
      </c>
      <c r="C51" s="354"/>
      <c r="D51" s="354">
        <f>D50/B49</f>
        <v>1.1070496083550911</v>
      </c>
      <c r="E51" s="354"/>
      <c r="F51" s="354">
        <f>F50/B49</f>
        <v>1.1070496083550911</v>
      </c>
      <c r="G51" s="354"/>
      <c r="H51" s="354">
        <f>H50/B49</f>
        <v>1.1070496083550911</v>
      </c>
      <c r="I51" s="354"/>
      <c r="J51" s="354">
        <f>J50/B49</f>
        <v>1.6605744125326367</v>
      </c>
      <c r="K51" s="354"/>
      <c r="L51" s="354">
        <f>L50/B49</f>
        <v>1.1624020887728459</v>
      </c>
      <c r="M51" s="354"/>
      <c r="N51" s="359">
        <f>N50/B49</f>
        <v>1.3838120104438638</v>
      </c>
      <c r="O51" s="354"/>
      <c r="P51" s="354">
        <f>P50/B49</f>
        <v>1.4114882506527411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J101"/>
  <sheetViews>
    <sheetView topLeftCell="A4" zoomScale="40" zoomScaleNormal="40" workbookViewId="0">
      <selection activeCell="K20" sqref="K20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46043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 t="s">
        <v>33</v>
      </c>
      <c r="C5" s="447"/>
      <c r="D5" s="444"/>
      <c r="E5" s="447"/>
      <c r="F5" s="444" t="s">
        <v>471</v>
      </c>
      <c r="G5" s="487" t="s">
        <v>230</v>
      </c>
      <c r="H5" s="444" t="s">
        <v>13</v>
      </c>
      <c r="I5" s="582" t="s">
        <v>537</v>
      </c>
      <c r="J5" s="444" t="s">
        <v>14</v>
      </c>
      <c r="K5" s="447"/>
      <c r="L5" s="444"/>
      <c r="M5" s="447"/>
      <c r="N5" s="444" t="s">
        <v>323</v>
      </c>
      <c r="O5" s="447"/>
      <c r="P5" s="444" t="s">
        <v>50</v>
      </c>
      <c r="Q5" s="446">
        <v>0.3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332</v>
      </c>
      <c r="Q6" s="487">
        <v>0.75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 t="s">
        <v>471</v>
      </c>
      <c r="Q7" s="487" t="s">
        <v>530</v>
      </c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2.25</v>
      </c>
      <c r="H9" s="462">
        <v>2.5</v>
      </c>
      <c r="I9" s="460">
        <f>H9-I11</f>
        <v>2.1</v>
      </c>
      <c r="J9" s="461"/>
      <c r="K9" s="460">
        <v>3</v>
      </c>
      <c r="L9" s="461">
        <v>2</v>
      </c>
      <c r="M9" s="460">
        <f>L9-M11</f>
        <v>2</v>
      </c>
      <c r="N9" s="463">
        <v>2.5</v>
      </c>
      <c r="O9" s="460">
        <f>N9-O11</f>
        <v>2.5</v>
      </c>
      <c r="P9" s="454">
        <v>2.5499999999999998</v>
      </c>
      <c r="Q9" s="464">
        <f>P9-Q11</f>
        <v>1.8499999999999999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535</v>
      </c>
      <c r="H12" s="543" t="s">
        <v>382</v>
      </c>
      <c r="I12" s="500" t="s">
        <v>39</v>
      </c>
      <c r="J12" s="528" t="s">
        <v>501</v>
      </c>
      <c r="K12" s="500" t="s">
        <v>328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190</v>
      </c>
      <c r="S12" s="549" t="s">
        <v>65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459</v>
      </c>
      <c r="C13" s="525" t="s">
        <v>36</v>
      </c>
      <c r="D13" s="542"/>
      <c r="E13" s="525"/>
      <c r="F13" s="542" t="s">
        <v>459</v>
      </c>
      <c r="G13" s="525" t="s">
        <v>74</v>
      </c>
      <c r="H13" s="543" t="s">
        <v>340</v>
      </c>
      <c r="I13" s="525" t="s">
        <v>191</v>
      </c>
      <c r="J13" s="542" t="s">
        <v>339</v>
      </c>
      <c r="K13" s="525" t="s">
        <v>74</v>
      </c>
      <c r="L13" s="542" t="s">
        <v>459</v>
      </c>
      <c r="M13" s="525" t="s">
        <v>87</v>
      </c>
      <c r="N13" s="542" t="s">
        <v>339</v>
      </c>
      <c r="O13" s="525" t="s">
        <v>261</v>
      </c>
      <c r="P13" s="550" t="s">
        <v>359</v>
      </c>
      <c r="Q13" s="500" t="s">
        <v>72</v>
      </c>
      <c r="R13" s="547" t="s">
        <v>534</v>
      </c>
      <c r="S13" s="545" t="s">
        <v>515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3" t="s">
        <v>340</v>
      </c>
      <c r="C14" s="575" t="s">
        <v>74</v>
      </c>
      <c r="D14" s="543"/>
      <c r="E14" s="525"/>
      <c r="F14" s="542" t="s">
        <v>339</v>
      </c>
      <c r="G14" s="525" t="s">
        <v>72</v>
      </c>
      <c r="H14" s="542"/>
      <c r="I14" s="525"/>
      <c r="J14" s="542" t="s">
        <v>456</v>
      </c>
      <c r="K14" s="525" t="s">
        <v>36</v>
      </c>
      <c r="L14" s="543"/>
      <c r="M14" s="525"/>
      <c r="N14" s="543"/>
      <c r="O14" s="525"/>
      <c r="P14" s="542" t="s">
        <v>456</v>
      </c>
      <c r="Q14" s="525" t="s">
        <v>74</v>
      </c>
      <c r="R14" s="547" t="s">
        <v>533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1"/>
      <c r="I15" s="525"/>
      <c r="J15" s="542"/>
      <c r="K15" s="525"/>
      <c r="L15" s="543"/>
      <c r="M15" s="526"/>
      <c r="N15" s="550"/>
      <c r="P15" s="543"/>
      <c r="Q15" s="525"/>
      <c r="R15" s="547" t="s">
        <v>63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78" t="s">
        <v>55</v>
      </c>
      <c r="E17" s="489" t="s">
        <v>39</v>
      </c>
      <c r="F17" s="578" t="s">
        <v>55</v>
      </c>
      <c r="G17" s="490" t="s">
        <v>78</v>
      </c>
      <c r="H17" s="544" t="s">
        <v>314</v>
      </c>
      <c r="I17" s="570" t="s">
        <v>87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536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1.7406417112299464</v>
      </c>
      <c r="C18" s="495"/>
      <c r="D18" s="494">
        <f>D51</f>
        <v>1.160427807486631</v>
      </c>
      <c r="E18" s="496"/>
      <c r="F18" s="494">
        <f>F51</f>
        <v>1.3054812834224598</v>
      </c>
      <c r="G18" s="495"/>
      <c r="H18" s="494">
        <f>H51</f>
        <v>1.2184491978609624</v>
      </c>
      <c r="I18" s="495"/>
      <c r="J18" s="497">
        <f>J51</f>
        <v>1.7406417112299464</v>
      </c>
      <c r="K18" s="495"/>
      <c r="L18" s="497">
        <f>L51</f>
        <v>1.160427807486631</v>
      </c>
      <c r="M18" s="495"/>
      <c r="N18" s="494">
        <f>N51</f>
        <v>1.4505347593582887</v>
      </c>
      <c r="O18" s="496"/>
      <c r="P18" s="498">
        <f>P51</f>
        <v>1.0733957219251333</v>
      </c>
      <c r="Q18" s="496">
        <f>P18+Q17</f>
        <v>1.4733957219251335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370</v>
      </c>
      <c r="C19" s="507" t="s">
        <v>542</v>
      </c>
      <c r="D19" s="506"/>
      <c r="E19" s="507"/>
      <c r="F19" s="506"/>
      <c r="G19" s="501"/>
      <c r="H19" s="506"/>
      <c r="I19" s="507"/>
      <c r="J19" s="499" t="s">
        <v>344</v>
      </c>
      <c r="K19" s="500" t="s">
        <v>538</v>
      </c>
      <c r="L19" s="502"/>
      <c r="M19" s="500"/>
      <c r="N19" s="499" t="s">
        <v>527</v>
      </c>
      <c r="O19" s="500" t="s">
        <v>539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6" t="s">
        <v>445</v>
      </c>
      <c r="C20" s="500" t="s">
        <v>541</v>
      </c>
      <c r="D20" s="499"/>
      <c r="E20" s="500"/>
      <c r="F20" s="505"/>
      <c r="G20" s="503"/>
      <c r="H20" s="506"/>
      <c r="I20" s="500"/>
      <c r="J20" s="499" t="s">
        <v>543</v>
      </c>
      <c r="K20" s="500" t="s">
        <v>544</v>
      </c>
      <c r="L20" s="502"/>
      <c r="M20" s="500"/>
      <c r="N20" s="499" t="s">
        <v>521</v>
      </c>
      <c r="O20" s="503" t="s">
        <v>540</v>
      </c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523"/>
      <c r="K21" s="503"/>
      <c r="L21" s="502"/>
      <c r="M21" s="500"/>
      <c r="N21" s="523"/>
      <c r="O21" s="503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19.866310160427801</v>
      </c>
      <c r="C30" s="218"/>
      <c r="D30" s="219">
        <f>D44</f>
        <v>-9.4224598930481349</v>
      </c>
      <c r="E30" s="220"/>
      <c r="F30" s="221">
        <f>F44</f>
        <v>-2.3502673796791527</v>
      </c>
      <c r="G30" s="221"/>
      <c r="H30" s="217">
        <f>H44</f>
        <v>-5.593582887700542</v>
      </c>
      <c r="I30" s="218"/>
      <c r="J30" s="217">
        <f>J44</f>
        <v>14.866310160427801</v>
      </c>
      <c r="K30" s="222"/>
      <c r="L30" s="217">
        <f>L44</f>
        <v>-3.4224598930481349</v>
      </c>
      <c r="M30" s="222"/>
      <c r="N30" s="217">
        <f>N44</f>
        <v>5.7219251336898367</v>
      </c>
      <c r="O30" s="222"/>
      <c r="P30" s="152">
        <f>P44</f>
        <v>-19.665775401069531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 t="s">
        <v>531</v>
      </c>
      <c r="G31" s="534" t="s">
        <v>99</v>
      </c>
      <c r="H31" s="448" t="s">
        <v>301</v>
      </c>
      <c r="I31" s="532" t="s">
        <v>99</v>
      </c>
      <c r="J31" s="523"/>
      <c r="K31" s="532"/>
      <c r="L31" s="538"/>
      <c r="M31" s="534"/>
      <c r="N31" s="552" t="s">
        <v>337</v>
      </c>
      <c r="O31" s="554" t="s">
        <v>338</v>
      </c>
      <c r="P31" s="24" t="s">
        <v>50</v>
      </c>
      <c r="Q31" s="440" t="s">
        <v>532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18.700000000000003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28.288770053475933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2.25</v>
      </c>
      <c r="G43" s="297"/>
      <c r="H43" s="278">
        <f>I9</f>
        <v>2.1</v>
      </c>
      <c r="I43" s="299"/>
      <c r="J43" s="278">
        <f>K9</f>
        <v>3</v>
      </c>
      <c r="K43" s="299"/>
      <c r="L43" s="278">
        <f>M9</f>
        <v>2</v>
      </c>
      <c r="M43" s="299"/>
      <c r="N43" s="278">
        <f>O9</f>
        <v>2.5</v>
      </c>
      <c r="O43" s="299"/>
      <c r="P43" s="311">
        <f>Q9</f>
        <v>1.8499999999999999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19.866310160427801</v>
      </c>
      <c r="C44" s="295"/>
      <c r="D44" s="318">
        <f>B40/B41*D43-D45</f>
        <v>-9.4224598930481349</v>
      </c>
      <c r="E44" s="319"/>
      <c r="F44" s="318">
        <f>B40/B41*F43-F45</f>
        <v>-2.3502673796791527</v>
      </c>
      <c r="G44" s="320"/>
      <c r="H44" s="321">
        <f>B40/B41*H43-H45</f>
        <v>-5.593582887700542</v>
      </c>
      <c r="I44" s="322"/>
      <c r="J44" s="321">
        <f>B40/B41*J43-J45</f>
        <v>14.866310160427801</v>
      </c>
      <c r="K44" s="322"/>
      <c r="L44" s="321">
        <f>B40/B41*L43-L45</f>
        <v>-3.4224598930481349</v>
      </c>
      <c r="M44" s="322"/>
      <c r="N44" s="321">
        <f>B40/B41*N43-N45</f>
        <v>5.7219251336898367</v>
      </c>
      <c r="O44" s="322"/>
      <c r="P44" s="311">
        <f>B40/B41*P43-P45</f>
        <v>-19.665775401069531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65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48.755760368663594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84.866310160427801</v>
      </c>
      <c r="C50" s="354"/>
      <c r="D50" s="354">
        <f>B42*D43</f>
        <v>56.577540106951865</v>
      </c>
      <c r="E50" s="354"/>
      <c r="F50" s="354">
        <f>B42*F43</f>
        <v>63.649732620320847</v>
      </c>
      <c r="G50" s="354"/>
      <c r="H50" s="359">
        <f>B42*H43</f>
        <v>59.406417112299458</v>
      </c>
      <c r="I50" s="354"/>
      <c r="J50" s="354">
        <f>B42*J43</f>
        <v>84.866310160427801</v>
      </c>
      <c r="K50" s="354"/>
      <c r="L50" s="354">
        <f>B42*L43</f>
        <v>56.577540106951865</v>
      </c>
      <c r="M50" s="354"/>
      <c r="N50" s="359">
        <f>B42*N43</f>
        <v>70.721925133689837</v>
      </c>
      <c r="O50" s="354"/>
      <c r="P50" s="354">
        <f>B42*P43</f>
        <v>52.334224598930469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1.7406417112299464</v>
      </c>
      <c r="C51" s="354"/>
      <c r="D51" s="354">
        <f>D50/B49</f>
        <v>1.160427807486631</v>
      </c>
      <c r="E51" s="354"/>
      <c r="F51" s="354">
        <f>F50/B49</f>
        <v>1.3054812834224598</v>
      </c>
      <c r="G51" s="354"/>
      <c r="H51" s="354">
        <f>H50/B49</f>
        <v>1.2184491978609624</v>
      </c>
      <c r="I51" s="354"/>
      <c r="J51" s="354">
        <f>J50/B49</f>
        <v>1.7406417112299464</v>
      </c>
      <c r="K51" s="354"/>
      <c r="L51" s="354">
        <f>L50/B49</f>
        <v>1.160427807486631</v>
      </c>
      <c r="M51" s="354"/>
      <c r="N51" s="359">
        <f>N50/B49</f>
        <v>1.4505347593582887</v>
      </c>
      <c r="O51" s="354"/>
      <c r="P51" s="354">
        <f>P50/B49</f>
        <v>1.0733957219251333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1.75</v>
      </c>
      <c r="H69" s="376">
        <v>0</v>
      </c>
      <c r="I69" s="377">
        <v>0</v>
      </c>
      <c r="J69" s="376">
        <f>SUM(C69:H69)</f>
        <v>3.15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J101"/>
  <sheetViews>
    <sheetView topLeftCell="E6" zoomScale="50" zoomScaleNormal="50" workbookViewId="0">
      <selection activeCell="G69" sqref="G6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46044</v>
      </c>
      <c r="E1" s="3" t="str">
        <f>TEXT(D1, "dddd")</f>
        <v>Thursday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33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325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4"/>
      <c r="C5" s="447"/>
      <c r="D5" s="444"/>
      <c r="E5" s="447"/>
      <c r="F5" s="444" t="s">
        <v>531</v>
      </c>
      <c r="G5" s="447"/>
      <c r="H5" s="444" t="s">
        <v>301</v>
      </c>
      <c r="I5" s="447"/>
      <c r="J5" s="444" t="s">
        <v>14</v>
      </c>
      <c r="K5" s="447"/>
      <c r="L5" s="444" t="s">
        <v>27</v>
      </c>
      <c r="M5" s="447"/>
      <c r="N5" s="444" t="s">
        <v>323</v>
      </c>
      <c r="O5" s="447"/>
      <c r="P5" s="444" t="s">
        <v>332</v>
      </c>
      <c r="Q5" s="446">
        <v>0.75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13</v>
      </c>
      <c r="Q6" s="487" t="s">
        <v>39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</v>
      </c>
      <c r="D9" s="461"/>
      <c r="E9" s="460">
        <v>2</v>
      </c>
      <c r="F9" s="461"/>
      <c r="G9" s="460">
        <v>3</v>
      </c>
      <c r="H9" s="462">
        <v>3</v>
      </c>
      <c r="I9" s="460">
        <f>H9-I11</f>
        <v>2.75</v>
      </c>
      <c r="J9" s="461"/>
      <c r="K9" s="460">
        <v>3</v>
      </c>
      <c r="L9" s="461">
        <v>3</v>
      </c>
      <c r="M9" s="460">
        <f>L9-M11</f>
        <v>3</v>
      </c>
      <c r="N9" s="463">
        <v>2.5</v>
      </c>
      <c r="O9" s="460">
        <f>N9-O11</f>
        <v>2.5</v>
      </c>
      <c r="P9" s="454">
        <v>2.75</v>
      </c>
      <c r="Q9" s="464">
        <f>P9-Q11</f>
        <v>2.0499999999999998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0.25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501</v>
      </c>
      <c r="K12" s="500" t="s">
        <v>203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190</v>
      </c>
      <c r="S12" s="549" t="s">
        <v>65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74</v>
      </c>
      <c r="D13" s="550" t="s">
        <v>340</v>
      </c>
      <c r="E13" s="525" t="s">
        <v>87</v>
      </c>
      <c r="F13" s="550" t="s">
        <v>340</v>
      </c>
      <c r="G13" s="525" t="s">
        <v>36</v>
      </c>
      <c r="H13" s="543" t="s">
        <v>456</v>
      </c>
      <c r="I13" s="525" t="s">
        <v>191</v>
      </c>
      <c r="J13" s="542" t="s">
        <v>459</v>
      </c>
      <c r="K13" s="525" t="s">
        <v>36</v>
      </c>
      <c r="L13" s="542" t="s">
        <v>339</v>
      </c>
      <c r="M13" s="525" t="s">
        <v>72</v>
      </c>
      <c r="N13" s="542" t="s">
        <v>339</v>
      </c>
      <c r="O13" s="525" t="s">
        <v>261</v>
      </c>
      <c r="P13" s="542" t="s">
        <v>359</v>
      </c>
      <c r="Q13" s="500" t="s">
        <v>72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75"/>
      <c r="D14" s="543"/>
      <c r="E14" s="525"/>
      <c r="F14" s="542" t="s">
        <v>339</v>
      </c>
      <c r="G14" s="525" t="s">
        <v>74</v>
      </c>
      <c r="H14" s="542"/>
      <c r="I14" s="525"/>
      <c r="J14" s="542" t="s">
        <v>359</v>
      </c>
      <c r="K14" s="525" t="s">
        <v>261</v>
      </c>
      <c r="L14" s="543" t="s">
        <v>459</v>
      </c>
      <c r="M14" s="525" t="s">
        <v>39</v>
      </c>
      <c r="N14" s="543"/>
      <c r="O14" s="525"/>
      <c r="P14" s="542" t="s">
        <v>218</v>
      </c>
      <c r="Q14" s="525" t="s">
        <v>72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50" t="s">
        <v>340</v>
      </c>
      <c r="Q15" s="525" t="s">
        <v>74</v>
      </c>
      <c r="R15" s="547" t="s">
        <v>404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78</v>
      </c>
      <c r="H17" s="544" t="s">
        <v>314</v>
      </c>
      <c r="I17" s="570" t="s">
        <v>74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545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1.2167487684729064</v>
      </c>
      <c r="C18" s="495"/>
      <c r="D18" s="494">
        <f>D51</f>
        <v>1.2167487684729064</v>
      </c>
      <c r="E18" s="496"/>
      <c r="F18" s="494">
        <f>F51</f>
        <v>1.8251231527093594</v>
      </c>
      <c r="G18" s="495"/>
      <c r="H18" s="494">
        <f>H51</f>
        <v>1.6730295566502462</v>
      </c>
      <c r="I18" s="495"/>
      <c r="J18" s="497">
        <f>J51</f>
        <v>1.8251231527093594</v>
      </c>
      <c r="K18" s="495"/>
      <c r="L18" s="497">
        <f>L51</f>
        <v>1.8251231527093594</v>
      </c>
      <c r="M18" s="495"/>
      <c r="N18" s="494">
        <f>N51</f>
        <v>1.520935960591133</v>
      </c>
      <c r="O18" s="496"/>
      <c r="P18" s="498">
        <f>P51</f>
        <v>1.247167487684729</v>
      </c>
      <c r="Q18" s="496">
        <f>P18+Q17</f>
        <v>1.6471674876847291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/>
      <c r="E19" s="507"/>
      <c r="F19" s="506" t="s">
        <v>344</v>
      </c>
      <c r="G19" s="501" t="s">
        <v>557</v>
      </c>
      <c r="H19" s="506" t="s">
        <v>350</v>
      </c>
      <c r="I19" s="507" t="s">
        <v>559</v>
      </c>
      <c r="J19" s="499" t="s">
        <v>350</v>
      </c>
      <c r="K19" s="500" t="s">
        <v>560</v>
      </c>
      <c r="L19" s="502" t="s">
        <v>445</v>
      </c>
      <c r="M19" s="500" t="s">
        <v>556</v>
      </c>
      <c r="N19" s="506" t="s">
        <v>348</v>
      </c>
      <c r="O19" s="507" t="s">
        <v>558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/>
      <c r="C20" s="500"/>
      <c r="D20" s="499"/>
      <c r="E20" s="500"/>
      <c r="F20" s="505"/>
      <c r="G20" s="503"/>
      <c r="H20" s="506"/>
      <c r="I20" s="500"/>
      <c r="J20" s="499" t="s">
        <v>370</v>
      </c>
      <c r="K20" s="500" t="s">
        <v>554</v>
      </c>
      <c r="L20" s="502" t="s">
        <v>370</v>
      </c>
      <c r="M20" s="500" t="s">
        <v>555</v>
      </c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-14.261083743842363</v>
      </c>
      <c r="C30" s="218"/>
      <c r="D30" s="219">
        <f>D44</f>
        <v>-10.261083743842363</v>
      </c>
      <c r="E30" s="220"/>
      <c r="F30" s="221">
        <f>F44</f>
        <v>10.108374384236456</v>
      </c>
      <c r="G30" s="221"/>
      <c r="H30" s="217">
        <f>H44</f>
        <v>4.7660098522167544</v>
      </c>
      <c r="I30" s="218"/>
      <c r="J30" s="217">
        <f>J44</f>
        <v>9.1083743842364555</v>
      </c>
      <c r="K30" s="222"/>
      <c r="L30" s="217">
        <f>L44</f>
        <v>16.108374384236456</v>
      </c>
      <c r="M30" s="222"/>
      <c r="N30" s="217">
        <f>N44</f>
        <v>4.4236453201970463</v>
      </c>
      <c r="O30" s="222"/>
      <c r="P30" s="152">
        <f>P44</f>
        <v>-19.992610837438427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341</v>
      </c>
      <c r="C31" s="532" t="s">
        <v>238</v>
      </c>
      <c r="D31" s="523" t="s">
        <v>25</v>
      </c>
      <c r="E31" s="532" t="s">
        <v>99</v>
      </c>
      <c r="F31" s="533"/>
      <c r="G31" s="534"/>
      <c r="H31" s="448"/>
      <c r="I31" s="532"/>
      <c r="J31" s="523"/>
      <c r="K31" s="532"/>
      <c r="L31" s="538"/>
      <c r="M31" s="534"/>
      <c r="N31" s="552" t="s">
        <v>337</v>
      </c>
      <c r="O31" s="554" t="s">
        <v>338</v>
      </c>
      <c r="P31" s="24" t="s">
        <v>50</v>
      </c>
      <c r="Q31" s="4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515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25.369458128078819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2.75</v>
      </c>
      <c r="I43" s="299"/>
      <c r="J43" s="278">
        <f>K9</f>
        <v>3</v>
      </c>
      <c r="K43" s="299"/>
      <c r="L43" s="278">
        <f>M9</f>
        <v>3</v>
      </c>
      <c r="M43" s="299"/>
      <c r="N43" s="278">
        <f>O9</f>
        <v>2.5</v>
      </c>
      <c r="O43" s="299"/>
      <c r="P43" s="311">
        <f>Q9</f>
        <v>2.0499999999999998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-14.261083743842363</v>
      </c>
      <c r="C44" s="295"/>
      <c r="D44" s="318">
        <f>B40/B41*D43-D45</f>
        <v>-10.261083743842363</v>
      </c>
      <c r="E44" s="319"/>
      <c r="F44" s="318">
        <f>B40/B41*F43-F45</f>
        <v>10.108374384236456</v>
      </c>
      <c r="G44" s="320"/>
      <c r="H44" s="321">
        <f>B40/B41*H43-H45</f>
        <v>4.7660098522167544</v>
      </c>
      <c r="I44" s="322"/>
      <c r="J44" s="321">
        <f>B40/B41*J43-J45</f>
        <v>9.1083743842364555</v>
      </c>
      <c r="K44" s="322"/>
      <c r="L44" s="321">
        <f>B40/B41*L43-L45</f>
        <v>16.108374384236456</v>
      </c>
      <c r="M44" s="322"/>
      <c r="N44" s="321">
        <f>B40/B41*N43-N45</f>
        <v>4.4236453201970463</v>
      </c>
      <c r="O44" s="322"/>
      <c r="P44" s="311">
        <f>B40/B41*P43-P45</f>
        <v>-19.992610837438427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61</v>
      </c>
      <c r="E45" s="130"/>
      <c r="F45" s="318">
        <v>66</v>
      </c>
      <c r="G45" s="320"/>
      <c r="H45" s="332">
        <v>65</v>
      </c>
      <c r="J45" s="321">
        <v>67</v>
      </c>
      <c r="K45" s="322"/>
      <c r="L45" s="321">
        <v>60</v>
      </c>
      <c r="M45" s="322"/>
      <c r="N45" s="333">
        <v>59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12.35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41.700404858299599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50.738916256157637</v>
      </c>
      <c r="C50" s="354"/>
      <c r="D50" s="354">
        <f>B42*D43</f>
        <v>50.738916256157637</v>
      </c>
      <c r="E50" s="354"/>
      <c r="F50" s="354">
        <f>B42*F43</f>
        <v>76.108374384236456</v>
      </c>
      <c r="G50" s="354"/>
      <c r="H50" s="359">
        <f>B42*H43</f>
        <v>69.766009852216754</v>
      </c>
      <c r="I50" s="354"/>
      <c r="J50" s="354">
        <f>B42*J43</f>
        <v>76.108374384236456</v>
      </c>
      <c r="K50" s="354"/>
      <c r="L50" s="354">
        <f>B42*L43</f>
        <v>76.108374384236456</v>
      </c>
      <c r="M50" s="354"/>
      <c r="N50" s="359">
        <f>B42*N43</f>
        <v>63.423645320197046</v>
      </c>
      <c r="O50" s="354"/>
      <c r="P50" s="354">
        <f>B42*P43</f>
        <v>52.007389162561573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1.2167487684729064</v>
      </c>
      <c r="C51" s="354"/>
      <c r="D51" s="354">
        <f>D50/B49</f>
        <v>1.2167487684729064</v>
      </c>
      <c r="E51" s="354"/>
      <c r="F51" s="354">
        <f>F50/B49</f>
        <v>1.8251231527093594</v>
      </c>
      <c r="G51" s="354"/>
      <c r="H51" s="354">
        <f>H50/B49</f>
        <v>1.6730295566502462</v>
      </c>
      <c r="I51" s="354"/>
      <c r="J51" s="354">
        <f>J50/B49</f>
        <v>1.8251231527093594</v>
      </c>
      <c r="K51" s="354"/>
      <c r="L51" s="354">
        <f>L50/B49</f>
        <v>1.8251231527093594</v>
      </c>
      <c r="M51" s="354"/>
      <c r="N51" s="359">
        <f>N50/B49</f>
        <v>1.520935960591133</v>
      </c>
      <c r="O51" s="354"/>
      <c r="P51" s="354">
        <f>P50/B49</f>
        <v>1.247167487684729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0.25</v>
      </c>
      <c r="H69" s="376">
        <v>0</v>
      </c>
      <c r="I69" s="377">
        <v>0</v>
      </c>
      <c r="J69" s="376">
        <f>SUM(C69:H69)</f>
        <v>1.65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J101"/>
  <sheetViews>
    <sheetView zoomScale="20" zoomScaleNormal="20" workbookViewId="0">
      <selection activeCell="J45" sqref="J45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46045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150">
      <c r="A5" s="40"/>
      <c r="B5" s="444"/>
      <c r="C5" s="447"/>
      <c r="D5" s="454" t="s">
        <v>550</v>
      </c>
      <c r="E5" s="447">
        <v>0.75</v>
      </c>
      <c r="F5" s="444" t="s">
        <v>531</v>
      </c>
      <c r="G5" s="447"/>
      <c r="H5" s="444" t="s">
        <v>301</v>
      </c>
      <c r="I5" s="447"/>
      <c r="J5" s="444" t="s">
        <v>14</v>
      </c>
      <c r="K5" s="447"/>
      <c r="L5" s="444" t="s">
        <v>27</v>
      </c>
      <c r="M5" s="447"/>
      <c r="N5" s="444" t="s">
        <v>323</v>
      </c>
      <c r="O5" s="447"/>
      <c r="P5" s="444" t="s">
        <v>332</v>
      </c>
      <c r="Q5" s="446">
        <v>0.75</v>
      </c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75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471</v>
      </c>
      <c r="Q6" s="583" t="s">
        <v>498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 t="s">
        <v>548</v>
      </c>
      <c r="Q7" s="487" t="s">
        <v>549</v>
      </c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2</v>
      </c>
      <c r="D9" s="461"/>
      <c r="E9" s="460">
        <v>2.75</v>
      </c>
      <c r="F9" s="461"/>
      <c r="G9" s="460">
        <v>3</v>
      </c>
      <c r="H9" s="462">
        <v>3</v>
      </c>
      <c r="I9" s="460">
        <f>H9-I11</f>
        <v>2.6</v>
      </c>
      <c r="J9" s="461"/>
      <c r="K9" s="460">
        <v>3</v>
      </c>
      <c r="L9" s="461">
        <v>3</v>
      </c>
      <c r="M9" s="460">
        <f>L9-M11</f>
        <v>3</v>
      </c>
      <c r="N9" s="463">
        <v>2.5</v>
      </c>
      <c r="O9" s="460">
        <f>N9-O11</f>
        <v>2.5</v>
      </c>
      <c r="P9" s="454">
        <v>3</v>
      </c>
      <c r="Q9" s="464">
        <f>P9-Q11</f>
        <v>2.2999999999999998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39</v>
      </c>
      <c r="F12" s="541" t="s">
        <v>61</v>
      </c>
      <c r="G12" s="500" t="s">
        <v>59</v>
      </c>
      <c r="H12" s="543" t="s">
        <v>382</v>
      </c>
      <c r="I12" s="500" t="s">
        <v>203</v>
      </c>
      <c r="J12" s="528" t="s">
        <v>501</v>
      </c>
      <c r="K12" s="500" t="s">
        <v>59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546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/>
      <c r="C13" s="525"/>
      <c r="D13" s="550" t="s">
        <v>340</v>
      </c>
      <c r="E13" s="525" t="s">
        <v>213</v>
      </c>
      <c r="F13" s="550" t="s">
        <v>459</v>
      </c>
      <c r="G13" s="525" t="s">
        <v>553</v>
      </c>
      <c r="H13" s="542" t="s">
        <v>456</v>
      </c>
      <c r="I13" s="525" t="s">
        <v>191</v>
      </c>
      <c r="J13" s="542" t="s">
        <v>359</v>
      </c>
      <c r="K13" s="525" t="s">
        <v>551</v>
      </c>
      <c r="L13" s="542" t="s">
        <v>339</v>
      </c>
      <c r="M13" s="525" t="s">
        <v>78</v>
      </c>
      <c r="N13" s="542" t="s">
        <v>339</v>
      </c>
      <c r="O13" s="525" t="s">
        <v>87</v>
      </c>
      <c r="P13" s="542" t="s">
        <v>359</v>
      </c>
      <c r="Q13" s="500" t="s">
        <v>72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75"/>
      <c r="D14" s="542"/>
      <c r="E14" s="525"/>
      <c r="F14" s="542"/>
      <c r="G14" s="525"/>
      <c r="H14" s="542"/>
      <c r="I14" s="525"/>
      <c r="J14" s="550" t="s">
        <v>459</v>
      </c>
      <c r="K14" s="525" t="s">
        <v>552</v>
      </c>
      <c r="L14" s="542" t="s">
        <v>359</v>
      </c>
      <c r="M14" s="525" t="s">
        <v>39</v>
      </c>
      <c r="N14" s="543"/>
      <c r="O14" s="525"/>
      <c r="P14" s="542" t="s">
        <v>339</v>
      </c>
      <c r="Q14" s="525" t="s">
        <v>386</v>
      </c>
      <c r="R14" s="547" t="s">
        <v>403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42"/>
      <c r="Q15" s="525"/>
      <c r="R15" s="547" t="s">
        <v>63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76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 t="s">
        <v>314</v>
      </c>
      <c r="I17" s="570" t="s">
        <v>74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545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1.0969267139479906</v>
      </c>
      <c r="C18" s="495"/>
      <c r="D18" s="494">
        <f>D51</f>
        <v>1.508274231678487</v>
      </c>
      <c r="E18" s="496"/>
      <c r="F18" s="494">
        <f>F51</f>
        <v>1.6453900709219857</v>
      </c>
      <c r="G18" s="495"/>
      <c r="H18" s="494">
        <f>H51</f>
        <v>1.4260047281323878</v>
      </c>
      <c r="I18" s="495"/>
      <c r="J18" s="497">
        <f>J51</f>
        <v>1.6453900709219857</v>
      </c>
      <c r="K18" s="495"/>
      <c r="L18" s="497">
        <f>L51</f>
        <v>1.6453900709219857</v>
      </c>
      <c r="M18" s="495"/>
      <c r="N18" s="494">
        <f>N51</f>
        <v>1.3711583924349882</v>
      </c>
      <c r="O18" s="496"/>
      <c r="P18" s="498">
        <f>P51</f>
        <v>1.2614657210401889</v>
      </c>
      <c r="Q18" s="496">
        <f>P18+Q17</f>
        <v>1.6614657210401891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/>
      <c r="C19" s="507"/>
      <c r="D19" s="506" t="s">
        <v>350</v>
      </c>
      <c r="E19" s="507" t="s">
        <v>566</v>
      </c>
      <c r="F19" s="506" t="s">
        <v>350</v>
      </c>
      <c r="G19" s="501" t="s">
        <v>567</v>
      </c>
      <c r="H19" s="506"/>
      <c r="I19" s="507"/>
      <c r="J19" s="499" t="s">
        <v>348</v>
      </c>
      <c r="K19" s="500" t="s">
        <v>565</v>
      </c>
      <c r="L19" s="502" t="s">
        <v>445</v>
      </c>
      <c r="M19" s="500" t="s">
        <v>561</v>
      </c>
      <c r="N19" s="506"/>
      <c r="O19" s="507"/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/>
      <c r="C20" s="500"/>
      <c r="D20" s="499" t="s">
        <v>370</v>
      </c>
      <c r="E20" s="500" t="s">
        <v>563</v>
      </c>
      <c r="F20" s="505" t="s">
        <v>409</v>
      </c>
      <c r="G20" s="503" t="s">
        <v>564</v>
      </c>
      <c r="H20" s="506"/>
      <c r="I20" s="500"/>
      <c r="J20" s="499"/>
      <c r="K20" s="500"/>
      <c r="L20" s="502" t="s">
        <v>370</v>
      </c>
      <c r="M20" s="500" t="s">
        <v>562</v>
      </c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-16.773049645390074</v>
      </c>
      <c r="C30" s="218"/>
      <c r="D30" s="219">
        <f>D44</f>
        <v>10.312056737588648</v>
      </c>
      <c r="E30" s="220"/>
      <c r="F30" s="221">
        <f>F44</f>
        <v>6.3404255319148888</v>
      </c>
      <c r="G30" s="221"/>
      <c r="H30" s="217">
        <f>H44</f>
        <v>-2.304964539007095</v>
      </c>
      <c r="I30" s="218"/>
      <c r="J30" s="217">
        <f>J44</f>
        <v>5.3404255319148888</v>
      </c>
      <c r="K30" s="222"/>
      <c r="L30" s="217">
        <f>L44</f>
        <v>12.340425531914889</v>
      </c>
      <c r="M30" s="222"/>
      <c r="N30" s="217">
        <f>N44</f>
        <v>1.2836879432624073</v>
      </c>
      <c r="O30" s="222"/>
      <c r="P30" s="152">
        <f>P44</f>
        <v>-16.539007092198588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 t="s">
        <v>22</v>
      </c>
      <c r="C31" s="532" t="s">
        <v>238</v>
      </c>
      <c r="D31" s="523" t="s">
        <v>25</v>
      </c>
      <c r="E31" s="532" t="s">
        <v>99</v>
      </c>
      <c r="F31" s="533"/>
      <c r="G31" s="534"/>
      <c r="H31" s="448"/>
      <c r="I31" s="532"/>
      <c r="J31" s="523"/>
      <c r="K31" s="532"/>
      <c r="L31" s="538"/>
      <c r="M31" s="534"/>
      <c r="N31" s="552" t="s">
        <v>337</v>
      </c>
      <c r="O31" s="554" t="s">
        <v>338</v>
      </c>
      <c r="P31" s="24" t="s">
        <v>50</v>
      </c>
      <c r="Q31" s="440" t="s">
        <v>547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510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21.150000000000002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24.113475177304963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2.75</v>
      </c>
      <c r="E43" s="297"/>
      <c r="F43" s="296">
        <f>G9</f>
        <v>3</v>
      </c>
      <c r="G43" s="297"/>
      <c r="H43" s="278">
        <f>I9</f>
        <v>2.6</v>
      </c>
      <c r="I43" s="299"/>
      <c r="J43" s="278">
        <f>K9</f>
        <v>3</v>
      </c>
      <c r="K43" s="299"/>
      <c r="L43" s="278">
        <f>M9</f>
        <v>3</v>
      </c>
      <c r="M43" s="299"/>
      <c r="N43" s="278">
        <f>O9</f>
        <v>2.5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-16.773049645390074</v>
      </c>
      <c r="C44" s="295"/>
      <c r="D44" s="318">
        <f>B40/B41*D43-D45</f>
        <v>10.312056737588648</v>
      </c>
      <c r="E44" s="319"/>
      <c r="F44" s="318">
        <f>B40/B41*F43-F45</f>
        <v>6.3404255319148888</v>
      </c>
      <c r="G44" s="320"/>
      <c r="H44" s="321">
        <f>B40/B41*H43-H45</f>
        <v>-2.304964539007095</v>
      </c>
      <c r="I44" s="322"/>
      <c r="J44" s="321">
        <f>B40/B41*J43-J45</f>
        <v>5.3404255319148888</v>
      </c>
      <c r="K44" s="322"/>
      <c r="L44" s="321">
        <f>B40/B41*L43-L45</f>
        <v>12.340425531914889</v>
      </c>
      <c r="M44" s="322"/>
      <c r="N44" s="321">
        <f>B40/B41*N43-N45</f>
        <v>1.2836879432624073</v>
      </c>
      <c r="O44" s="322"/>
      <c r="P44" s="311">
        <f>B40/B41*P43-P45</f>
        <v>-16.539007092198588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67</v>
      </c>
      <c r="K45" s="322"/>
      <c r="L45" s="321">
        <v>60</v>
      </c>
      <c r="M45" s="322"/>
      <c r="N45" s="333">
        <v>59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43.96551724137931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48.226950354609926</v>
      </c>
      <c r="C50" s="354"/>
      <c r="D50" s="354">
        <f>B42*D43</f>
        <v>66.312056737588648</v>
      </c>
      <c r="E50" s="354"/>
      <c r="F50" s="354">
        <f>B42*F43</f>
        <v>72.340425531914889</v>
      </c>
      <c r="G50" s="354"/>
      <c r="H50" s="359">
        <f>B42*H43</f>
        <v>62.695035460992905</v>
      </c>
      <c r="I50" s="354"/>
      <c r="J50" s="354">
        <f>B42*J43</f>
        <v>72.340425531914889</v>
      </c>
      <c r="K50" s="354"/>
      <c r="L50" s="354">
        <f>B42*L43</f>
        <v>72.340425531914889</v>
      </c>
      <c r="M50" s="354"/>
      <c r="N50" s="359">
        <f>B42*N43</f>
        <v>60.283687943262407</v>
      </c>
      <c r="O50" s="354"/>
      <c r="P50" s="354">
        <f>B42*P43</f>
        <v>55.460992907801412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1.0969267139479906</v>
      </c>
      <c r="C51" s="354"/>
      <c r="D51" s="354">
        <f>D50/B49</f>
        <v>1.508274231678487</v>
      </c>
      <c r="E51" s="354"/>
      <c r="F51" s="354">
        <f>F50/B49</f>
        <v>1.6453900709219857</v>
      </c>
      <c r="G51" s="354"/>
      <c r="H51" s="354">
        <f>H50/B49</f>
        <v>1.4260047281323878</v>
      </c>
      <c r="I51" s="354"/>
      <c r="J51" s="354">
        <f>J50/B49</f>
        <v>1.6453900709219857</v>
      </c>
      <c r="K51" s="354"/>
      <c r="L51" s="354">
        <f>L50/B49</f>
        <v>1.6453900709219857</v>
      </c>
      <c r="M51" s="354"/>
      <c r="N51" s="359">
        <f>N50/B49</f>
        <v>1.3711583924349882</v>
      </c>
      <c r="O51" s="354"/>
      <c r="P51" s="354">
        <f>P50/B49</f>
        <v>1.2614657210401889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0.75</v>
      </c>
      <c r="H69" s="376">
        <v>0</v>
      </c>
      <c r="I69" s="377">
        <v>0</v>
      </c>
      <c r="J69" s="376">
        <f>SUM(C69:H69)</f>
        <v>2.4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J101"/>
  <sheetViews>
    <sheetView zoomScale="20" zoomScaleNormal="20" workbookViewId="0">
      <selection activeCell="L14" sqref="L1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46048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74">
      <c r="A5" s="40"/>
      <c r="B5" s="444" t="s">
        <v>22</v>
      </c>
      <c r="C5" s="447"/>
      <c r="D5" s="454"/>
      <c r="E5" s="447"/>
      <c r="F5" s="444" t="s">
        <v>531</v>
      </c>
      <c r="G5" s="447"/>
      <c r="H5" s="444" t="s">
        <v>301</v>
      </c>
      <c r="I5" s="447"/>
      <c r="J5" s="444" t="s">
        <v>14</v>
      </c>
      <c r="K5" s="447"/>
      <c r="L5" s="444" t="s">
        <v>13</v>
      </c>
      <c r="M5" s="447" t="s">
        <v>188</v>
      </c>
      <c r="N5" s="444" t="s">
        <v>323</v>
      </c>
      <c r="O5" s="447"/>
      <c r="P5" s="444" t="s">
        <v>332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74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42</v>
      </c>
      <c r="Q6" s="487" t="s">
        <v>192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3</v>
      </c>
      <c r="H9" s="462">
        <v>3</v>
      </c>
      <c r="I9" s="460">
        <f>H9-I11</f>
        <v>2.6</v>
      </c>
      <c r="J9" s="461"/>
      <c r="K9" s="460">
        <v>3</v>
      </c>
      <c r="L9" s="461">
        <v>2.5</v>
      </c>
      <c r="M9" s="460">
        <f>L9-M11</f>
        <v>2.5</v>
      </c>
      <c r="N9" s="463">
        <v>2.5</v>
      </c>
      <c r="O9" s="460">
        <f>N9-O11</f>
        <v>2.5</v>
      </c>
      <c r="P9" s="454">
        <v>3</v>
      </c>
      <c r="Q9" s="464">
        <f>P9-Q11</f>
        <v>2.2999999999999998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501</v>
      </c>
      <c r="K12" s="500" t="s">
        <v>59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60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70</v>
      </c>
      <c r="D13" s="550" t="s">
        <v>340</v>
      </c>
      <c r="E13" s="525" t="s">
        <v>87</v>
      </c>
      <c r="F13" s="550" t="s">
        <v>340</v>
      </c>
      <c r="G13" s="525" t="s">
        <v>225</v>
      </c>
      <c r="H13" s="542" t="s">
        <v>456</v>
      </c>
      <c r="I13" s="525" t="s">
        <v>261</v>
      </c>
      <c r="J13" s="542" t="s">
        <v>459</v>
      </c>
      <c r="K13" s="525" t="s">
        <v>191</v>
      </c>
      <c r="L13" s="542" t="s">
        <v>339</v>
      </c>
      <c r="M13" s="525" t="s">
        <v>386</v>
      </c>
      <c r="N13" s="542" t="s">
        <v>339</v>
      </c>
      <c r="O13" s="525" t="s">
        <v>261</v>
      </c>
      <c r="P13" s="542" t="s">
        <v>359</v>
      </c>
      <c r="Q13" s="500" t="s">
        <v>72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/>
      <c r="C14" s="575"/>
      <c r="D14" s="542"/>
      <c r="E14" s="525"/>
      <c r="F14" s="542"/>
      <c r="G14" s="525"/>
      <c r="H14" s="542"/>
      <c r="I14" s="525"/>
      <c r="J14" s="542"/>
      <c r="K14" s="525"/>
      <c r="L14" s="542"/>
      <c r="M14" s="525"/>
      <c r="N14" s="543"/>
      <c r="O14" s="525"/>
      <c r="P14" s="542" t="s">
        <v>459</v>
      </c>
      <c r="Q14" s="525" t="s">
        <v>74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42" t="s">
        <v>456</v>
      </c>
      <c r="Q15" s="525" t="s">
        <v>72</v>
      </c>
      <c r="R15" s="547" t="s">
        <v>63</v>
      </c>
      <c r="S15" s="558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 t="s">
        <v>314</v>
      </c>
      <c r="I17" s="570" t="s">
        <v>74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568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1.7727272727272727</v>
      </c>
      <c r="C18" s="495"/>
      <c r="D18" s="494">
        <f>D51</f>
        <v>1.1818181818181817</v>
      </c>
      <c r="E18" s="496"/>
      <c r="F18" s="494">
        <f>F51</f>
        <v>1.7727272727272727</v>
      </c>
      <c r="G18" s="495"/>
      <c r="H18" s="494">
        <f>H51</f>
        <v>1.5363636363636364</v>
      </c>
      <c r="I18" s="495"/>
      <c r="J18" s="497">
        <f>J51</f>
        <v>1.7727272727272727</v>
      </c>
      <c r="K18" s="495"/>
      <c r="L18" s="497">
        <f>L51</f>
        <v>1.4772727272727271</v>
      </c>
      <c r="M18" s="495"/>
      <c r="N18" s="494">
        <f>N51</f>
        <v>1.4772727272727271</v>
      </c>
      <c r="O18" s="496"/>
      <c r="P18" s="498">
        <f>P51</f>
        <v>1.3590909090909089</v>
      </c>
      <c r="Q18" s="496">
        <f>P18+Q17</f>
        <v>1.7590909090909088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571</v>
      </c>
      <c r="D19" s="506"/>
      <c r="E19" s="507"/>
      <c r="F19" s="506" t="s">
        <v>387</v>
      </c>
      <c r="G19" s="501" t="s">
        <v>575</v>
      </c>
      <c r="H19" s="506"/>
      <c r="I19" s="507"/>
      <c r="J19" s="499"/>
      <c r="K19" s="500"/>
      <c r="L19" s="502" t="s">
        <v>370</v>
      </c>
      <c r="M19" s="500" t="s">
        <v>574</v>
      </c>
      <c r="N19" s="506"/>
      <c r="O19" s="507"/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 t="s">
        <v>370</v>
      </c>
      <c r="C20" s="500" t="s">
        <v>572</v>
      </c>
      <c r="D20" s="499"/>
      <c r="E20" s="500"/>
      <c r="F20" s="505" t="s">
        <v>370</v>
      </c>
      <c r="G20" s="503" t="s">
        <v>573</v>
      </c>
      <c r="H20" s="506"/>
      <c r="I20" s="500"/>
      <c r="J20" s="499"/>
      <c r="K20" s="500"/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9.4976076555023923</v>
      </c>
      <c r="C30" s="218"/>
      <c r="D30" s="219">
        <f>D44</f>
        <v>-6.3349282296650742</v>
      </c>
      <c r="E30" s="220"/>
      <c r="F30" s="221">
        <f>F44</f>
        <v>8.4976076555023923</v>
      </c>
      <c r="G30" s="221"/>
      <c r="H30" s="217">
        <f>H44</f>
        <v>-0.43540669856459147</v>
      </c>
      <c r="I30" s="218"/>
      <c r="J30" s="217">
        <f>J44</f>
        <v>1.4976076555023923</v>
      </c>
      <c r="K30" s="222"/>
      <c r="L30" s="217">
        <f>L44</f>
        <v>2.0813397129186555</v>
      </c>
      <c r="M30" s="222"/>
      <c r="N30" s="217">
        <f>N44</f>
        <v>8.1339712918655493E-2</v>
      </c>
      <c r="O30" s="222"/>
      <c r="P30" s="152">
        <f>P44</f>
        <v>-14.885167464114836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/>
      <c r="G31" s="534"/>
      <c r="H31" s="448"/>
      <c r="I31" s="532"/>
      <c r="J31" s="523"/>
      <c r="K31" s="532"/>
      <c r="L31" s="538" t="s">
        <v>27</v>
      </c>
      <c r="M31" s="534" t="s">
        <v>99</v>
      </c>
      <c r="N31" s="552" t="s">
        <v>337</v>
      </c>
      <c r="O31" s="554" t="s">
        <v>338</v>
      </c>
      <c r="P31" s="24" t="s">
        <v>50</v>
      </c>
      <c r="Q31" s="440" t="s">
        <v>547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 t="s">
        <v>28</v>
      </c>
      <c r="Q32" s="440" t="s">
        <v>570</v>
      </c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24.832535885167463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2.6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2.5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9.4976076555023923</v>
      </c>
      <c r="C44" s="295"/>
      <c r="D44" s="318">
        <f>B40/B41*D43-D45</f>
        <v>-6.3349282296650742</v>
      </c>
      <c r="E44" s="319"/>
      <c r="F44" s="318">
        <f>B40/B41*F43-F45</f>
        <v>8.4976076555023923</v>
      </c>
      <c r="G44" s="320"/>
      <c r="H44" s="321">
        <f>B40/B41*H43-H45</f>
        <v>-0.43540669856459147</v>
      </c>
      <c r="I44" s="322"/>
      <c r="J44" s="321">
        <f>B40/B41*J43-J45</f>
        <v>1.4976076555023923</v>
      </c>
      <c r="K44" s="322"/>
      <c r="L44" s="321">
        <f>B40/B41*L43-L45</f>
        <v>2.0813397129186555</v>
      </c>
      <c r="M44" s="322"/>
      <c r="N44" s="321">
        <f>B40/B41*N43-N45</f>
        <v>8.1339712918655493E-2</v>
      </c>
      <c r="O44" s="322"/>
      <c r="P44" s="311">
        <f>B40/B41*P43-P45</f>
        <v>-14.885167464114836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73</v>
      </c>
      <c r="K45" s="322"/>
      <c r="L45" s="321">
        <v>60</v>
      </c>
      <c r="M45" s="322"/>
      <c r="N45" s="333">
        <v>62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12.35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42.02429149797571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74.497607655502392</v>
      </c>
      <c r="C50" s="354"/>
      <c r="D50" s="354">
        <f>B42*D43</f>
        <v>49.665071770334926</v>
      </c>
      <c r="E50" s="354"/>
      <c r="F50" s="354">
        <f>B42*F43</f>
        <v>74.497607655502392</v>
      </c>
      <c r="G50" s="354"/>
      <c r="H50" s="359">
        <f>B42*H43</f>
        <v>64.564593301435409</v>
      </c>
      <c r="I50" s="354"/>
      <c r="J50" s="354">
        <f>B42*J43</f>
        <v>74.497607655502392</v>
      </c>
      <c r="K50" s="354"/>
      <c r="L50" s="354">
        <f>B42*L43</f>
        <v>62.081339712918655</v>
      </c>
      <c r="M50" s="354"/>
      <c r="N50" s="359">
        <f>B42*N43</f>
        <v>62.081339712918655</v>
      </c>
      <c r="O50" s="354"/>
      <c r="P50" s="354">
        <f>B42*P43</f>
        <v>57.114832535885164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1.7727272727272727</v>
      </c>
      <c r="C51" s="354"/>
      <c r="D51" s="354">
        <f>D50/B49</f>
        <v>1.1818181818181817</v>
      </c>
      <c r="E51" s="354"/>
      <c r="F51" s="354">
        <f>F50/B49</f>
        <v>1.7727272727272727</v>
      </c>
      <c r="G51" s="354"/>
      <c r="H51" s="354">
        <f>H50/B49</f>
        <v>1.5363636363636364</v>
      </c>
      <c r="I51" s="354"/>
      <c r="J51" s="354">
        <f>J50/B49</f>
        <v>1.7727272727272727</v>
      </c>
      <c r="K51" s="354"/>
      <c r="L51" s="354">
        <f>L50/B49</f>
        <v>1.4772727272727271</v>
      </c>
      <c r="M51" s="354"/>
      <c r="N51" s="359">
        <f>N50/B49</f>
        <v>1.4772727272727271</v>
      </c>
      <c r="O51" s="354"/>
      <c r="P51" s="354">
        <f>P50/B49</f>
        <v>1.3590909090909089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0</v>
      </c>
      <c r="H69" s="376">
        <v>0</v>
      </c>
      <c r="I69" s="377">
        <v>0</v>
      </c>
      <c r="J69" s="376">
        <f>SUM(C69:H69)</f>
        <v>1.65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J101"/>
  <sheetViews>
    <sheetView zoomScale="20" zoomScaleNormal="20" workbookViewId="0">
      <selection activeCell="J21" sqref="J21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46049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 t="s">
        <v>39</v>
      </c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74">
      <c r="A5" s="40"/>
      <c r="B5" s="444" t="s">
        <v>22</v>
      </c>
      <c r="C5" s="447"/>
      <c r="D5" s="454"/>
      <c r="E5" s="447"/>
      <c r="F5" s="444" t="s">
        <v>531</v>
      </c>
      <c r="G5" s="447"/>
      <c r="H5" s="444" t="s">
        <v>301</v>
      </c>
      <c r="I5" s="447"/>
      <c r="J5" s="444" t="s">
        <v>14</v>
      </c>
      <c r="K5" s="447"/>
      <c r="L5" s="444"/>
      <c r="M5" s="447"/>
      <c r="N5" s="444" t="s">
        <v>323</v>
      </c>
      <c r="O5" s="447"/>
      <c r="P5" s="444" t="s">
        <v>332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74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13</v>
      </c>
      <c r="Q6" s="447" t="s">
        <v>188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3</v>
      </c>
      <c r="H9" s="462">
        <v>3</v>
      </c>
      <c r="I9" s="460">
        <f>H9-I11</f>
        <v>2.6</v>
      </c>
      <c r="J9" s="461"/>
      <c r="K9" s="460">
        <v>2.5</v>
      </c>
      <c r="L9" s="461">
        <v>2</v>
      </c>
      <c r="M9" s="460">
        <f>L9-M11</f>
        <v>2</v>
      </c>
      <c r="N9" s="463">
        <v>2.5</v>
      </c>
      <c r="O9" s="460">
        <f>N9-O11</f>
        <v>2.5</v>
      </c>
      <c r="P9" s="454">
        <v>3</v>
      </c>
      <c r="Q9" s="464">
        <f>P9-Q11</f>
        <v>2.2999999999999998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190</v>
      </c>
      <c r="E12" s="520" t="s">
        <v>59</v>
      </c>
      <c r="F12" s="543" t="s">
        <v>61</v>
      </c>
      <c r="G12" s="500" t="s">
        <v>59</v>
      </c>
      <c r="H12" s="543" t="s">
        <v>382</v>
      </c>
      <c r="I12" s="500" t="s">
        <v>59</v>
      </c>
      <c r="J12" s="585" t="s">
        <v>501</v>
      </c>
      <c r="K12" s="500" t="s">
        <v>59</v>
      </c>
      <c r="L12" s="528" t="s">
        <v>312</v>
      </c>
      <c r="M12" s="500" t="s">
        <v>59</v>
      </c>
      <c r="N12" s="543" t="s">
        <v>64</v>
      </c>
      <c r="O12" s="500" t="s">
        <v>213</v>
      </c>
      <c r="P12" s="584" t="s">
        <v>580</v>
      </c>
      <c r="Q12" s="569" t="s">
        <v>225</v>
      </c>
      <c r="R12" s="545" t="s">
        <v>60</v>
      </c>
      <c r="S12" s="549" t="s">
        <v>569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70</v>
      </c>
      <c r="D13" s="585" t="s">
        <v>340</v>
      </c>
      <c r="E13" s="525" t="s">
        <v>87</v>
      </c>
      <c r="F13" s="585" t="s">
        <v>340</v>
      </c>
      <c r="G13" s="525" t="s">
        <v>225</v>
      </c>
      <c r="H13" s="542" t="s">
        <v>339</v>
      </c>
      <c r="I13" s="525" t="s">
        <v>72</v>
      </c>
      <c r="J13" s="542" t="s">
        <v>459</v>
      </c>
      <c r="K13" s="525" t="s">
        <v>78</v>
      </c>
      <c r="L13" s="542" t="s">
        <v>459</v>
      </c>
      <c r="M13" s="525" t="s">
        <v>74</v>
      </c>
      <c r="N13" s="542" t="s">
        <v>339</v>
      </c>
      <c r="O13" s="525" t="s">
        <v>261</v>
      </c>
      <c r="P13" s="542" t="s">
        <v>459</v>
      </c>
      <c r="Q13" s="500" t="s">
        <v>87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 t="s">
        <v>456</v>
      </c>
      <c r="C14" s="525" t="s">
        <v>78</v>
      </c>
      <c r="D14" s="542"/>
      <c r="E14" s="525"/>
      <c r="F14" s="542" t="s">
        <v>459</v>
      </c>
      <c r="G14" s="525" t="s">
        <v>72</v>
      </c>
      <c r="H14" s="542" t="s">
        <v>218</v>
      </c>
      <c r="I14" s="575" t="s">
        <v>87</v>
      </c>
      <c r="J14" s="542" t="s">
        <v>339</v>
      </c>
      <c r="K14" s="525" t="s">
        <v>74</v>
      </c>
      <c r="L14" s="542"/>
      <c r="M14" s="525"/>
      <c r="N14" s="543"/>
      <c r="O14" s="525"/>
      <c r="P14" s="542" t="s">
        <v>456</v>
      </c>
      <c r="Q14" s="525" t="s">
        <v>386</v>
      </c>
      <c r="R14" s="547" t="s">
        <v>317</v>
      </c>
      <c r="S14" s="545" t="s">
        <v>263</v>
      </c>
      <c r="T14" s="558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42" t="s">
        <v>359</v>
      </c>
      <c r="Q15" s="525" t="s">
        <v>576</v>
      </c>
      <c r="R15" s="547" t="s">
        <v>63</v>
      </c>
      <c r="S15" s="558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 t="s">
        <v>314</v>
      </c>
      <c r="I17" s="570" t="s">
        <v>87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568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1.8618090452261304</v>
      </c>
      <c r="C18" s="495"/>
      <c r="D18" s="494">
        <f>D51</f>
        <v>1.2412060301507537</v>
      </c>
      <c r="E18" s="496"/>
      <c r="F18" s="494">
        <f>F51</f>
        <v>1.8618090452261304</v>
      </c>
      <c r="G18" s="495"/>
      <c r="H18" s="494">
        <f>H51</f>
        <v>1.6135678391959796</v>
      </c>
      <c r="I18" s="495"/>
      <c r="J18" s="497">
        <f>J51</f>
        <v>1.551507537688442</v>
      </c>
      <c r="K18" s="495"/>
      <c r="L18" s="497">
        <f>L51</f>
        <v>1.2412060301507537</v>
      </c>
      <c r="M18" s="495"/>
      <c r="N18" s="494">
        <f>N51</f>
        <v>1.551507537688442</v>
      </c>
      <c r="O18" s="496"/>
      <c r="P18" s="498">
        <f>P51</f>
        <v>1.4273869346733667</v>
      </c>
      <c r="Q18" s="496">
        <f>P18+Q17</f>
        <v>1.8273869346733669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583</v>
      </c>
      <c r="D19" s="506"/>
      <c r="E19" s="507"/>
      <c r="F19" s="506" t="s">
        <v>527</v>
      </c>
      <c r="G19" s="501" t="s">
        <v>585</v>
      </c>
      <c r="H19" s="506" t="s">
        <v>387</v>
      </c>
      <c r="I19" s="507" t="s">
        <v>581</v>
      </c>
      <c r="J19" s="499"/>
      <c r="K19" s="500"/>
      <c r="L19" s="502"/>
      <c r="M19" s="500"/>
      <c r="N19" s="506" t="s">
        <v>464</v>
      </c>
      <c r="O19" s="507" t="s">
        <v>586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 t="s">
        <v>370</v>
      </c>
      <c r="C20" s="500" t="s">
        <v>584</v>
      </c>
      <c r="D20" s="499"/>
      <c r="E20" s="500"/>
      <c r="F20" s="506" t="s">
        <v>387</v>
      </c>
      <c r="G20" s="503" t="s">
        <v>582</v>
      </c>
      <c r="H20" s="506"/>
      <c r="I20" s="500"/>
      <c r="J20" s="499"/>
      <c r="K20" s="500"/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12.185929648241199</v>
      </c>
      <c r="C30" s="218"/>
      <c r="D30" s="219">
        <f>D44</f>
        <v>-4.5427135678392006</v>
      </c>
      <c r="E30" s="220"/>
      <c r="F30" s="221">
        <f>F44</f>
        <v>11.185929648241199</v>
      </c>
      <c r="G30" s="221"/>
      <c r="H30" s="217">
        <f>H44</f>
        <v>1.8944723618090364</v>
      </c>
      <c r="I30" s="218"/>
      <c r="J30" s="217">
        <f>J44</f>
        <v>-5.6783919597990007</v>
      </c>
      <c r="K30" s="222"/>
      <c r="L30" s="217">
        <f>L44</f>
        <v>-8.5427135678392006</v>
      </c>
      <c r="M30" s="222"/>
      <c r="N30" s="217">
        <f>N44</f>
        <v>6.3216080402009993</v>
      </c>
      <c r="O30" s="222"/>
      <c r="P30" s="152">
        <f>P44</f>
        <v>-12.824120603015082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/>
      <c r="G31" s="534"/>
      <c r="H31" s="448"/>
      <c r="I31" s="532"/>
      <c r="J31" s="523"/>
      <c r="K31" s="532"/>
      <c r="L31" s="538" t="s">
        <v>27</v>
      </c>
      <c r="M31" s="534" t="s">
        <v>99</v>
      </c>
      <c r="N31" s="552" t="s">
        <v>337</v>
      </c>
      <c r="O31" s="554" t="s">
        <v>338</v>
      </c>
      <c r="P31" s="24" t="s">
        <v>50</v>
      </c>
      <c r="Q31" s="440" t="s">
        <v>547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19.900000000000002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25.7286432160804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2.6</v>
      </c>
      <c r="I43" s="299"/>
      <c r="J43" s="278">
        <f>K9</f>
        <v>2.5</v>
      </c>
      <c r="K43" s="299"/>
      <c r="L43" s="278">
        <f>M9</f>
        <v>2</v>
      </c>
      <c r="M43" s="299"/>
      <c r="N43" s="278">
        <f>O9</f>
        <v>2.5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12.185929648241199</v>
      </c>
      <c r="C44" s="295"/>
      <c r="D44" s="318">
        <f>B40/B41*D43-D45</f>
        <v>-4.5427135678392006</v>
      </c>
      <c r="E44" s="319"/>
      <c r="F44" s="318">
        <f>B40/B41*F43-F45</f>
        <v>11.185929648241199</v>
      </c>
      <c r="G44" s="320"/>
      <c r="H44" s="321">
        <f>B40/B41*H43-H45</f>
        <v>1.8944723618090364</v>
      </c>
      <c r="I44" s="322"/>
      <c r="J44" s="321">
        <f>B40/B41*J43-J45</f>
        <v>-5.6783919597990007</v>
      </c>
      <c r="K44" s="322"/>
      <c r="L44" s="321">
        <f>B40/B41*L43-L45</f>
        <v>-8.5427135678392006</v>
      </c>
      <c r="M44" s="322"/>
      <c r="N44" s="321">
        <f>B40/B41*N43-N45</f>
        <v>6.3216080402009993</v>
      </c>
      <c r="O44" s="322"/>
      <c r="P44" s="311">
        <f>B40/B41*P43-P45</f>
        <v>-12.824120603015082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58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12.35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41.457489878542511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77.185929648241199</v>
      </c>
      <c r="C50" s="354"/>
      <c r="D50" s="354">
        <f>B42*D43</f>
        <v>51.457286432160799</v>
      </c>
      <c r="E50" s="354"/>
      <c r="F50" s="354">
        <f>B42*F43</f>
        <v>77.185929648241199</v>
      </c>
      <c r="G50" s="354"/>
      <c r="H50" s="359">
        <f>B42*H43</f>
        <v>66.894472361809036</v>
      </c>
      <c r="I50" s="354"/>
      <c r="J50" s="354">
        <f>B42*J43</f>
        <v>64.321608040200999</v>
      </c>
      <c r="K50" s="354"/>
      <c r="L50" s="354">
        <f>B42*L43</f>
        <v>51.457286432160799</v>
      </c>
      <c r="M50" s="354"/>
      <c r="N50" s="359">
        <f>B42*N43</f>
        <v>64.321608040200999</v>
      </c>
      <c r="O50" s="354"/>
      <c r="P50" s="354">
        <f>B42*P43</f>
        <v>59.175879396984918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1.8618090452261304</v>
      </c>
      <c r="C51" s="354"/>
      <c r="D51" s="354">
        <f>D50/B49</f>
        <v>1.2412060301507537</v>
      </c>
      <c r="E51" s="354"/>
      <c r="F51" s="354">
        <f>F50/B49</f>
        <v>1.8618090452261304</v>
      </c>
      <c r="G51" s="354"/>
      <c r="H51" s="354">
        <f>H50/B49</f>
        <v>1.6135678391959796</v>
      </c>
      <c r="I51" s="354"/>
      <c r="J51" s="354">
        <f>J50/B49</f>
        <v>1.551507537688442</v>
      </c>
      <c r="K51" s="354"/>
      <c r="L51" s="354">
        <f>L50/B49</f>
        <v>1.2412060301507537</v>
      </c>
      <c r="M51" s="354"/>
      <c r="N51" s="359">
        <f>N50/B49</f>
        <v>1.551507537688442</v>
      </c>
      <c r="O51" s="354"/>
      <c r="P51" s="354">
        <f>P50/B49</f>
        <v>1.4273869346733667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0.25</v>
      </c>
      <c r="H69" s="376">
        <v>0</v>
      </c>
      <c r="I69" s="377">
        <v>0</v>
      </c>
      <c r="J69" s="376">
        <f>SUM(C69:H69)</f>
        <v>1.65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J101"/>
  <sheetViews>
    <sheetView zoomScale="20" zoomScaleNormal="20" workbookViewId="0">
      <selection activeCell="M12" sqref="M1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46050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23</v>
      </c>
      <c r="E4" s="447"/>
      <c r="F4" s="444" t="s">
        <v>298</v>
      </c>
      <c r="G4" s="447"/>
      <c r="H4" s="444" t="s">
        <v>37</v>
      </c>
      <c r="I4" s="447"/>
      <c r="J4" s="444" t="s">
        <v>26</v>
      </c>
      <c r="K4" s="450" t="s">
        <v>39</v>
      </c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150">
      <c r="A5" s="40"/>
      <c r="B5" s="444" t="s">
        <v>22</v>
      </c>
      <c r="C5" s="447"/>
      <c r="D5" s="444" t="s">
        <v>16</v>
      </c>
      <c r="E5" s="487" t="s">
        <v>589</v>
      </c>
      <c r="F5" s="444" t="s">
        <v>531</v>
      </c>
      <c r="G5" s="447"/>
      <c r="H5" s="444" t="s">
        <v>301</v>
      </c>
      <c r="I5" s="447"/>
      <c r="J5" s="444" t="s">
        <v>14</v>
      </c>
      <c r="K5" s="447"/>
      <c r="L5" s="444" t="s">
        <v>277</v>
      </c>
      <c r="M5" s="445" t="s">
        <v>588</v>
      </c>
      <c r="N5" s="444" t="s">
        <v>323</v>
      </c>
      <c r="O5" s="447"/>
      <c r="P5" s="444" t="s">
        <v>332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74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13</v>
      </c>
      <c r="Q6" s="487" t="s">
        <v>39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 t="s">
        <v>16</v>
      </c>
      <c r="Q7" s="487" t="s">
        <v>498</v>
      </c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2.25</v>
      </c>
      <c r="F9" s="461"/>
      <c r="G9" s="460">
        <v>3</v>
      </c>
      <c r="H9" s="462">
        <v>3</v>
      </c>
      <c r="I9" s="460">
        <f>H9-I11</f>
        <v>3</v>
      </c>
      <c r="J9" s="461"/>
      <c r="K9" s="460">
        <v>2.5</v>
      </c>
      <c r="L9" s="461">
        <v>2.2999999999999998</v>
      </c>
      <c r="M9" s="460">
        <f>L9-M11</f>
        <v>2.0499999999999998</v>
      </c>
      <c r="N9" s="463">
        <v>2.5</v>
      </c>
      <c r="O9" s="460">
        <f>N9-O11</f>
        <v>2.5</v>
      </c>
      <c r="P9" s="454">
        <v>3.25</v>
      </c>
      <c r="Q9" s="464">
        <f>P9-Q11</f>
        <v>2.5499999999999998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0.25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340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501</v>
      </c>
      <c r="K12" s="500" t="s">
        <v>59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578</v>
      </c>
      <c r="S12" s="549" t="s">
        <v>65</v>
      </c>
      <c r="T12" s="549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248</v>
      </c>
      <c r="D13" s="542" t="s">
        <v>459</v>
      </c>
      <c r="E13" s="525" t="s">
        <v>87</v>
      </c>
      <c r="F13" s="542" t="s">
        <v>339</v>
      </c>
      <c r="G13" s="525" t="s">
        <v>72</v>
      </c>
      <c r="H13" s="542" t="s">
        <v>339</v>
      </c>
      <c r="I13" s="525" t="s">
        <v>261</v>
      </c>
      <c r="J13" s="542" t="s">
        <v>359</v>
      </c>
      <c r="K13" s="525" t="s">
        <v>87</v>
      </c>
      <c r="L13" s="542" t="s">
        <v>459</v>
      </c>
      <c r="M13" s="525" t="s">
        <v>74</v>
      </c>
      <c r="N13" s="542" t="s">
        <v>339</v>
      </c>
      <c r="O13" s="525" t="s">
        <v>74</v>
      </c>
      <c r="P13" s="542" t="s">
        <v>359</v>
      </c>
      <c r="Q13" s="500" t="s">
        <v>72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 t="s">
        <v>456</v>
      </c>
      <c r="C14" s="525" t="s">
        <v>78</v>
      </c>
      <c r="D14" s="542"/>
      <c r="E14" s="525"/>
      <c r="F14" s="542" t="s">
        <v>459</v>
      </c>
      <c r="G14" s="525" t="s">
        <v>36</v>
      </c>
      <c r="H14" s="542"/>
      <c r="I14" s="525"/>
      <c r="J14" s="542"/>
      <c r="K14" s="525"/>
      <c r="L14" s="542"/>
      <c r="M14" s="525"/>
      <c r="N14" s="542"/>
      <c r="O14" s="525"/>
      <c r="P14" s="542" t="s">
        <v>456</v>
      </c>
      <c r="Q14" s="525" t="s">
        <v>386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42"/>
      <c r="Q15" s="525"/>
      <c r="R15" s="547" t="s">
        <v>579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/>
      <c r="I17" s="570"/>
      <c r="J17" s="444"/>
      <c r="K17" s="447"/>
      <c r="L17" s="544" t="s">
        <v>314</v>
      </c>
      <c r="M17" s="570" t="s">
        <v>87</v>
      </c>
      <c r="N17" s="544"/>
      <c r="O17" s="491"/>
      <c r="P17" s="492" t="s">
        <v>54</v>
      </c>
      <c r="Q17" s="493">
        <v>0.4</v>
      </c>
      <c r="R17" s="605" t="s">
        <v>577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1.633093525179856</v>
      </c>
      <c r="C18" s="495"/>
      <c r="D18" s="494">
        <f>D51</f>
        <v>1.224820143884892</v>
      </c>
      <c r="E18" s="496"/>
      <c r="F18" s="494">
        <f>F51</f>
        <v>1.633093525179856</v>
      </c>
      <c r="G18" s="495"/>
      <c r="H18" s="494">
        <f>H51</f>
        <v>1.633093525179856</v>
      </c>
      <c r="I18" s="495"/>
      <c r="J18" s="497">
        <f>J51</f>
        <v>1.3609112709832134</v>
      </c>
      <c r="K18" s="495"/>
      <c r="L18" s="497">
        <f>L51</f>
        <v>1.1159472422062349</v>
      </c>
      <c r="M18" s="495"/>
      <c r="N18" s="494">
        <f>N51</f>
        <v>1.3609112709832134</v>
      </c>
      <c r="O18" s="496"/>
      <c r="P18" s="498">
        <f>P51</f>
        <v>1.3881294964028774</v>
      </c>
      <c r="Q18" s="496">
        <f>P18+Q17</f>
        <v>1.7881294964028775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591</v>
      </c>
      <c r="D19" s="506"/>
      <c r="E19" s="507"/>
      <c r="F19" s="506" t="s">
        <v>464</v>
      </c>
      <c r="G19" s="501" t="s">
        <v>595</v>
      </c>
      <c r="H19" s="506" t="s">
        <v>527</v>
      </c>
      <c r="I19" s="507" t="s">
        <v>593</v>
      </c>
      <c r="J19" s="499"/>
      <c r="K19" s="500"/>
      <c r="L19" s="502"/>
      <c r="M19" s="500"/>
      <c r="N19" s="506" t="s">
        <v>494</v>
      </c>
      <c r="O19" s="500" t="s">
        <v>594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 t="s">
        <v>370</v>
      </c>
      <c r="C20" s="500" t="s">
        <v>592</v>
      </c>
      <c r="D20" s="499"/>
      <c r="E20" s="500"/>
      <c r="F20" s="505"/>
      <c r="G20" s="503"/>
      <c r="H20" s="506" t="s">
        <v>445</v>
      </c>
      <c r="I20" s="500" t="s">
        <v>590</v>
      </c>
      <c r="J20" s="499"/>
      <c r="K20" s="500"/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8.6690647482014356</v>
      </c>
      <c r="C30" s="218"/>
      <c r="D30" s="219">
        <f>D44</f>
        <v>-0.74820143884892332</v>
      </c>
      <c r="E30" s="220"/>
      <c r="F30" s="221">
        <f>F44</f>
        <v>7.6690647482014356</v>
      </c>
      <c r="G30" s="221"/>
      <c r="H30" s="217">
        <f>H44</f>
        <v>8.6690647482014356</v>
      </c>
      <c r="I30" s="218"/>
      <c r="J30" s="217">
        <f>J44</f>
        <v>-8.6091127098321323</v>
      </c>
      <c r="K30" s="222"/>
      <c r="L30" s="217">
        <f>L44</f>
        <v>-9.6594724220623576</v>
      </c>
      <c r="M30" s="222"/>
      <c r="N30" s="217">
        <f>N44</f>
        <v>3.3908872901678677</v>
      </c>
      <c r="O30" s="222"/>
      <c r="P30" s="152">
        <f>P44</f>
        <v>-9.3812949640287826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/>
      <c r="G31" s="534"/>
      <c r="H31" s="448"/>
      <c r="I31" s="532"/>
      <c r="J31" s="523"/>
      <c r="K31" s="532"/>
      <c r="L31" s="538" t="s">
        <v>27</v>
      </c>
      <c r="M31" s="534" t="s">
        <v>99</v>
      </c>
      <c r="N31" s="552" t="s">
        <v>337</v>
      </c>
      <c r="O31" s="554" t="s">
        <v>338</v>
      </c>
      <c r="P31" s="24" t="s">
        <v>50</v>
      </c>
      <c r="Q31" s="4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20.85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24.556354916067146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2.25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2.5</v>
      </c>
      <c r="K43" s="299"/>
      <c r="L43" s="278">
        <f>M9</f>
        <v>2.0499999999999998</v>
      </c>
      <c r="M43" s="299"/>
      <c r="N43" s="278">
        <f>O9</f>
        <v>2.5</v>
      </c>
      <c r="O43" s="299"/>
      <c r="P43" s="311">
        <f>Q9</f>
        <v>2.5499999999999998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8.6690647482014356</v>
      </c>
      <c r="C44" s="295"/>
      <c r="D44" s="318">
        <f>B40/B41*D43-D45</f>
        <v>-0.74820143884892332</v>
      </c>
      <c r="E44" s="319"/>
      <c r="F44" s="318">
        <f>B40/B41*F43-F45</f>
        <v>7.6690647482014356</v>
      </c>
      <c r="G44" s="320"/>
      <c r="H44" s="321">
        <f>B40/B41*H43-H45</f>
        <v>8.6690647482014356</v>
      </c>
      <c r="I44" s="322"/>
      <c r="J44" s="321">
        <f>B40/B41*J43-J45</f>
        <v>-8.6091127098321323</v>
      </c>
      <c r="K44" s="322"/>
      <c r="L44" s="321">
        <f>B40/B41*L43-L45</f>
        <v>-9.6594724220623576</v>
      </c>
      <c r="M44" s="322"/>
      <c r="N44" s="321">
        <f>B40/B41*N43-N45</f>
        <v>3.3908872901678677</v>
      </c>
      <c r="O44" s="322"/>
      <c r="P44" s="311">
        <f>B40/B41*P43-P45</f>
        <v>-9.3812949640287826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58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45.110132158590311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73.669064748201436</v>
      </c>
      <c r="C50" s="354"/>
      <c r="D50" s="354">
        <f>B42*D43</f>
        <v>55.251798561151077</v>
      </c>
      <c r="E50" s="354"/>
      <c r="F50" s="354">
        <f>B42*F43</f>
        <v>73.669064748201436</v>
      </c>
      <c r="G50" s="354"/>
      <c r="H50" s="359">
        <f>B42*H43</f>
        <v>73.669064748201436</v>
      </c>
      <c r="I50" s="354"/>
      <c r="J50" s="354">
        <f>B42*J43</f>
        <v>61.390887290167868</v>
      </c>
      <c r="K50" s="354"/>
      <c r="L50" s="354">
        <f>B42*L43</f>
        <v>50.340527577937642</v>
      </c>
      <c r="M50" s="354"/>
      <c r="N50" s="359">
        <f>B42*N43</f>
        <v>61.390887290167868</v>
      </c>
      <c r="O50" s="354"/>
      <c r="P50" s="354">
        <f>B42*P43</f>
        <v>62.618705035971217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1.633093525179856</v>
      </c>
      <c r="C51" s="354"/>
      <c r="D51" s="354">
        <f>D50/B49</f>
        <v>1.224820143884892</v>
      </c>
      <c r="E51" s="354"/>
      <c r="F51" s="354">
        <f>F50/B49</f>
        <v>1.633093525179856</v>
      </c>
      <c r="G51" s="354"/>
      <c r="H51" s="354">
        <f>H50/B49</f>
        <v>1.633093525179856</v>
      </c>
      <c r="I51" s="354"/>
      <c r="J51" s="354">
        <f>J50/B49</f>
        <v>1.3609112709832134</v>
      </c>
      <c r="K51" s="354"/>
      <c r="L51" s="354">
        <f>L50/B49</f>
        <v>1.1159472422062349</v>
      </c>
      <c r="M51" s="354"/>
      <c r="N51" s="359">
        <f>N50/B49</f>
        <v>1.3609112709832134</v>
      </c>
      <c r="O51" s="354"/>
      <c r="P51" s="354">
        <f>P50/B49</f>
        <v>1.3881294964028774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J101"/>
  <sheetViews>
    <sheetView zoomScale="15" zoomScaleNormal="15" workbookViewId="0">
      <selection activeCell="N20" sqref="N20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46051</v>
      </c>
      <c r="E1" s="3" t="str">
        <f>TEXT(D1, "dddd")</f>
        <v>Thursday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34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23</v>
      </c>
      <c r="E4" s="447"/>
      <c r="F4" s="444" t="s">
        <v>298</v>
      </c>
      <c r="G4" s="447"/>
      <c r="H4" s="444" t="s">
        <v>301</v>
      </c>
      <c r="I4" s="48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74">
      <c r="A5" s="40"/>
      <c r="B5" s="444" t="s">
        <v>22</v>
      </c>
      <c r="C5" s="447"/>
      <c r="D5" s="454"/>
      <c r="E5" s="447"/>
      <c r="F5" s="444" t="s">
        <v>531</v>
      </c>
      <c r="G5" s="447"/>
      <c r="H5" s="444"/>
      <c r="I5" s="447"/>
      <c r="J5" s="444" t="s">
        <v>14</v>
      </c>
      <c r="K5" s="447"/>
      <c r="L5" s="444"/>
      <c r="M5" s="445"/>
      <c r="N5" s="444" t="s">
        <v>323</v>
      </c>
      <c r="O5" s="447"/>
      <c r="P5" s="444" t="s">
        <v>332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74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44" t="s">
        <v>13</v>
      </c>
      <c r="Q6" s="487" t="s">
        <v>188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2</v>
      </c>
      <c r="F9" s="461"/>
      <c r="G9" s="460">
        <v>3</v>
      </c>
      <c r="H9" s="462">
        <v>2</v>
      </c>
      <c r="I9" s="460">
        <f>H9-I11</f>
        <v>2</v>
      </c>
      <c r="J9" s="461"/>
      <c r="K9" s="460">
        <v>3</v>
      </c>
      <c r="L9" s="461">
        <v>2</v>
      </c>
      <c r="M9" s="460">
        <f>L9-M11</f>
        <v>2</v>
      </c>
      <c r="N9" s="463">
        <v>2.5</v>
      </c>
      <c r="O9" s="460">
        <f>N9-O11</f>
        <v>2.5</v>
      </c>
      <c r="P9" s="454">
        <v>3</v>
      </c>
      <c r="Q9" s="464">
        <f>P9-Q11</f>
        <v>2.2999999999999998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45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587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501</v>
      </c>
      <c r="K12" s="500" t="s">
        <v>203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60</v>
      </c>
      <c r="S12" s="549" t="s">
        <v>65</v>
      </c>
      <c r="T12" s="549" t="s">
        <v>596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39</v>
      </c>
      <c r="D13" s="542"/>
      <c r="E13" s="575"/>
      <c r="F13" s="542" t="s">
        <v>456</v>
      </c>
      <c r="G13" s="525" t="s">
        <v>225</v>
      </c>
      <c r="H13" s="542"/>
      <c r="I13" s="525"/>
      <c r="J13" s="542" t="s">
        <v>459</v>
      </c>
      <c r="K13" s="525" t="s">
        <v>597</v>
      </c>
      <c r="L13" s="542"/>
      <c r="M13" s="575"/>
      <c r="N13" s="542" t="s">
        <v>339</v>
      </c>
      <c r="O13" s="525" t="s">
        <v>261</v>
      </c>
      <c r="P13" s="542" t="s">
        <v>359</v>
      </c>
      <c r="Q13" s="500" t="s">
        <v>72</v>
      </c>
      <c r="R13" s="547" t="s">
        <v>75</v>
      </c>
      <c r="S13" s="545" t="s">
        <v>249</v>
      </c>
      <c r="T13" s="572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 t="s">
        <v>456</v>
      </c>
      <c r="C14" s="575" t="s">
        <v>87</v>
      </c>
      <c r="D14" s="542"/>
      <c r="E14" s="525"/>
      <c r="F14" s="550"/>
      <c r="G14" s="525"/>
      <c r="H14" s="542"/>
      <c r="I14" s="525"/>
      <c r="J14" s="542" t="s">
        <v>359</v>
      </c>
      <c r="K14" s="525" t="s">
        <v>78</v>
      </c>
      <c r="L14" s="542"/>
      <c r="M14" s="525"/>
      <c r="N14" s="542"/>
      <c r="O14" s="525"/>
      <c r="P14" s="550" t="s">
        <v>358</v>
      </c>
      <c r="Q14" s="525" t="s">
        <v>386</v>
      </c>
      <c r="R14" s="547" t="s">
        <v>317</v>
      </c>
      <c r="S14" s="548" t="s">
        <v>326</v>
      </c>
      <c r="T14" s="571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50"/>
      <c r="Q15" s="525"/>
      <c r="R15" s="547" t="s">
        <v>404</v>
      </c>
      <c r="S15" s="545" t="s">
        <v>358</v>
      </c>
      <c r="T15" s="586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600</v>
      </c>
      <c r="T16" s="572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39</v>
      </c>
      <c r="F17" s="514" t="s">
        <v>315</v>
      </c>
      <c r="G17" s="490" t="s">
        <v>36</v>
      </c>
      <c r="H17" s="544"/>
      <c r="I17" s="570"/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577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1.6818181818181819</v>
      </c>
      <c r="C18" s="495"/>
      <c r="D18" s="494">
        <f>D51</f>
        <v>1.1212121212121211</v>
      </c>
      <c r="E18" s="496"/>
      <c r="F18" s="494">
        <f>F51</f>
        <v>1.6818181818181819</v>
      </c>
      <c r="G18" s="495"/>
      <c r="H18" s="494">
        <f>H51</f>
        <v>1.1212121212121211</v>
      </c>
      <c r="I18" s="495"/>
      <c r="J18" s="497">
        <f>J51</f>
        <v>1.6818181818181819</v>
      </c>
      <c r="K18" s="495"/>
      <c r="L18" s="497">
        <f>L51</f>
        <v>1.1212121212121211</v>
      </c>
      <c r="M18" s="495"/>
      <c r="N18" s="494">
        <f>N51</f>
        <v>1.4015151515151514</v>
      </c>
      <c r="O18" s="496"/>
      <c r="P18" s="498">
        <f>P51</f>
        <v>1.2893939393939391</v>
      </c>
      <c r="Q18" s="496">
        <f>P18+Q17</f>
        <v>1.689393939393939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604</v>
      </c>
      <c r="D19" s="506"/>
      <c r="E19" s="507"/>
      <c r="F19" s="506" t="s">
        <v>605</v>
      </c>
      <c r="G19" s="501" t="s">
        <v>606</v>
      </c>
      <c r="H19" s="506"/>
      <c r="I19" s="507"/>
      <c r="J19" s="499" t="s">
        <v>409</v>
      </c>
      <c r="K19" s="500" t="s">
        <v>607</v>
      </c>
      <c r="L19" s="502"/>
      <c r="M19" s="500"/>
      <c r="N19" s="506" t="s">
        <v>346</v>
      </c>
      <c r="O19" s="507" t="s">
        <v>608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499" t="s">
        <v>370</v>
      </c>
      <c r="C20" s="500" t="s">
        <v>603</v>
      </c>
      <c r="D20" s="499"/>
      <c r="E20" s="500"/>
      <c r="F20" s="499" t="s">
        <v>344</v>
      </c>
      <c r="G20" s="503" t="s">
        <v>602</v>
      </c>
      <c r="H20" s="506"/>
      <c r="I20" s="500"/>
      <c r="J20" s="499"/>
      <c r="K20" s="500"/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 t="s">
        <v>344</v>
      </c>
      <c r="C21" s="500" t="s">
        <v>601</v>
      </c>
      <c r="D21" s="499"/>
      <c r="E21" s="500"/>
      <c r="F21" s="504"/>
      <c r="G21" s="503"/>
      <c r="H21" s="505"/>
      <c r="I21" s="107"/>
      <c r="J21" s="24"/>
      <c r="K21" s="160"/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15.151515151515156</v>
      </c>
      <c r="C30" s="218"/>
      <c r="D30" s="219">
        <f>D44</f>
        <v>-12.565656565656568</v>
      </c>
      <c r="E30" s="220"/>
      <c r="F30" s="221">
        <f>F44</f>
        <v>14.151515151515156</v>
      </c>
      <c r="G30" s="221"/>
      <c r="H30" s="217">
        <f>H44</f>
        <v>-11.565656565656568</v>
      </c>
      <c r="I30" s="218"/>
      <c r="J30" s="217">
        <f>J44</f>
        <v>7.1515151515151558</v>
      </c>
      <c r="K30" s="222"/>
      <c r="L30" s="217">
        <f>L44</f>
        <v>-6.5656565656565675</v>
      </c>
      <c r="M30" s="222"/>
      <c r="N30" s="217">
        <f>N44</f>
        <v>4.792929292929287</v>
      </c>
      <c r="O30" s="222"/>
      <c r="P30" s="152">
        <f>P44</f>
        <v>-10.550505050505059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/>
      <c r="G31" s="534"/>
      <c r="H31" s="448" t="s">
        <v>37</v>
      </c>
      <c r="I31" s="532" t="s">
        <v>242</v>
      </c>
      <c r="J31" s="523"/>
      <c r="K31" s="532"/>
      <c r="L31" s="538" t="s">
        <v>27</v>
      </c>
      <c r="M31" s="534" t="s">
        <v>99</v>
      </c>
      <c r="N31" s="552" t="s">
        <v>337</v>
      </c>
      <c r="O31" s="554" t="s">
        <v>338</v>
      </c>
      <c r="P31" s="24" t="s">
        <v>50</v>
      </c>
      <c r="Q31" s="4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4"/>
      <c r="I32" s="440"/>
      <c r="J32" s="24"/>
      <c r="K32" s="229"/>
      <c r="L32" s="439"/>
      <c r="M32" s="229"/>
      <c r="N32" s="552"/>
      <c r="O32" s="554"/>
      <c r="P32" s="20"/>
      <c r="Q32" s="440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19.8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26.717171717171716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2</v>
      </c>
      <c r="M43" s="299"/>
      <c r="N43" s="278">
        <f>O9</f>
        <v>2.5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15.151515151515156</v>
      </c>
      <c r="C44" s="295"/>
      <c r="D44" s="318">
        <f>B40/B41*D43-D45</f>
        <v>-12.565656565656568</v>
      </c>
      <c r="E44" s="319"/>
      <c r="F44" s="318">
        <f>B40/B41*F43-F45</f>
        <v>14.151515151515156</v>
      </c>
      <c r="G44" s="320"/>
      <c r="H44" s="321">
        <f>B40/B41*H43-H45</f>
        <v>-11.565656565656568</v>
      </c>
      <c r="I44" s="322"/>
      <c r="J44" s="321">
        <f>B40/B41*J43-J45</f>
        <v>7.1515151515151558</v>
      </c>
      <c r="K44" s="322"/>
      <c r="L44" s="321">
        <f>B40/B41*L43-L45</f>
        <v>-6.5656565656565675</v>
      </c>
      <c r="M44" s="322"/>
      <c r="N44" s="321">
        <f>B40/B41*N43-N45</f>
        <v>4.792929292929287</v>
      </c>
      <c r="O44" s="322"/>
      <c r="P44" s="311">
        <f>B40/B41*P43-P45</f>
        <v>-10.550505050505059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66</v>
      </c>
      <c r="E45" s="130"/>
      <c r="F45" s="318">
        <v>66</v>
      </c>
      <c r="G45" s="320"/>
      <c r="H45" s="332">
        <v>65</v>
      </c>
      <c r="J45" s="321">
        <v>73</v>
      </c>
      <c r="K45" s="322"/>
      <c r="L45" s="321">
        <v>60</v>
      </c>
      <c r="M45" s="322"/>
      <c r="N45" s="333">
        <v>62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47.657657657657658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80.151515151515156</v>
      </c>
      <c r="C50" s="354"/>
      <c r="D50" s="354">
        <f>B42*D43</f>
        <v>53.434343434343432</v>
      </c>
      <c r="E50" s="354"/>
      <c r="F50" s="354">
        <f>B42*F43</f>
        <v>80.151515151515156</v>
      </c>
      <c r="G50" s="354"/>
      <c r="H50" s="359">
        <f>B42*H43</f>
        <v>53.434343434343432</v>
      </c>
      <c r="I50" s="354"/>
      <c r="J50" s="354">
        <f>B42*J43</f>
        <v>80.151515151515156</v>
      </c>
      <c r="K50" s="354"/>
      <c r="L50" s="354">
        <f>B42*L43</f>
        <v>53.434343434343432</v>
      </c>
      <c r="M50" s="354"/>
      <c r="N50" s="359">
        <f>B42*N43</f>
        <v>66.792929292929287</v>
      </c>
      <c r="O50" s="354"/>
      <c r="P50" s="354">
        <f>B42*P43</f>
        <v>61.449494949494941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1.6818181818181819</v>
      </c>
      <c r="C51" s="354"/>
      <c r="D51" s="354">
        <f>D50/B49</f>
        <v>1.1212121212121211</v>
      </c>
      <c r="E51" s="354"/>
      <c r="F51" s="354">
        <f>F50/B49</f>
        <v>1.6818181818181819</v>
      </c>
      <c r="G51" s="354"/>
      <c r="H51" s="354">
        <f>H50/B49</f>
        <v>1.1212121212121211</v>
      </c>
      <c r="I51" s="354"/>
      <c r="J51" s="354">
        <f>J50/B49</f>
        <v>1.6818181818181819</v>
      </c>
      <c r="K51" s="354"/>
      <c r="L51" s="354">
        <f>L50/B49</f>
        <v>1.1212121212121211</v>
      </c>
      <c r="M51" s="354"/>
      <c r="N51" s="359">
        <f>N50/B49</f>
        <v>1.4015151515151514</v>
      </c>
      <c r="O51" s="354"/>
      <c r="P51" s="354">
        <f>P50/B49</f>
        <v>1.2893939393939391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</v>
      </c>
      <c r="F69" s="376">
        <f>Q17</f>
        <v>0.4</v>
      </c>
      <c r="G69" s="380">
        <v>1.5</v>
      </c>
      <c r="H69" s="376">
        <v>0</v>
      </c>
      <c r="I69" s="377">
        <v>0</v>
      </c>
      <c r="J69" s="376">
        <f>SUM(C69:H69)</f>
        <v>2.9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101"/>
  <sheetViews>
    <sheetView zoomScale="40" zoomScaleNormal="40" workbookViewId="0">
      <selection activeCell="F21" sqref="F21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46052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4" t="s">
        <v>341</v>
      </c>
      <c r="C3" s="445"/>
      <c r="D3" s="444" t="s">
        <v>23</v>
      </c>
      <c r="E3" s="508"/>
      <c r="F3" s="444" t="s">
        <v>198</v>
      </c>
      <c r="G3" s="447"/>
      <c r="H3" s="444" t="s">
        <v>47</v>
      </c>
      <c r="I3" s="447"/>
      <c r="J3" s="444" t="s">
        <v>297</v>
      </c>
      <c r="K3" s="556"/>
      <c r="L3" s="446" t="s">
        <v>243</v>
      </c>
      <c r="M3" s="447"/>
      <c r="N3" s="444" t="s">
        <v>15</v>
      </c>
      <c r="O3" s="447"/>
      <c r="P3" s="444" t="s">
        <v>32</v>
      </c>
      <c r="Q3" s="445" t="s">
        <v>500</v>
      </c>
      <c r="R3" s="600" t="s">
        <v>306</v>
      </c>
      <c r="S3" s="601"/>
      <c r="T3" s="601"/>
      <c r="U3" s="602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4" t="s">
        <v>33</v>
      </c>
      <c r="C4" s="445"/>
      <c r="D4" s="444" t="s">
        <v>342</v>
      </c>
      <c r="E4" s="447">
        <v>0.75</v>
      </c>
      <c r="F4" s="444" t="s">
        <v>298</v>
      </c>
      <c r="G4" s="447"/>
      <c r="H4" s="444" t="s">
        <v>301</v>
      </c>
      <c r="I4" s="447"/>
      <c r="J4" s="444" t="s">
        <v>26</v>
      </c>
      <c r="K4" s="450"/>
      <c r="L4" s="451" t="s">
        <v>307</v>
      </c>
      <c r="M4" s="447"/>
      <c r="N4" s="444" t="s">
        <v>32</v>
      </c>
      <c r="O4" s="447" t="s">
        <v>188</v>
      </c>
      <c r="P4" s="444" t="s">
        <v>28</v>
      </c>
      <c r="Q4" s="447"/>
      <c r="R4" s="33" t="s">
        <v>300</v>
      </c>
      <c r="S4" s="34"/>
      <c r="T4" s="603" t="s">
        <v>316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74">
      <c r="A5" s="40"/>
      <c r="B5" s="444" t="s">
        <v>22</v>
      </c>
      <c r="C5" s="447"/>
      <c r="D5" s="454"/>
      <c r="E5" s="447"/>
      <c r="F5" s="444" t="s">
        <v>531</v>
      </c>
      <c r="G5" s="447"/>
      <c r="H5" s="444" t="s">
        <v>13</v>
      </c>
      <c r="I5" s="447" t="s">
        <v>39</v>
      </c>
      <c r="J5" s="444" t="s">
        <v>14</v>
      </c>
      <c r="K5" s="447"/>
      <c r="L5" s="444"/>
      <c r="M5" s="445"/>
      <c r="N5" s="444" t="s">
        <v>323</v>
      </c>
      <c r="O5" s="447"/>
      <c r="P5" s="444" t="s">
        <v>332</v>
      </c>
      <c r="Q5" s="446"/>
      <c r="R5" s="41" t="s">
        <v>40</v>
      </c>
      <c r="S5" s="42"/>
      <c r="T5" s="60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50">
      <c r="A6" s="40"/>
      <c r="B6" s="46"/>
      <c r="D6" s="444"/>
      <c r="E6" s="447"/>
      <c r="F6" s="444"/>
      <c r="G6" s="447"/>
      <c r="H6" s="444"/>
      <c r="I6" s="447"/>
      <c r="J6" s="444"/>
      <c r="K6" s="447"/>
      <c r="L6" s="444"/>
      <c r="M6" s="445"/>
      <c r="N6" s="444"/>
      <c r="O6" s="446"/>
      <c r="P6" s="454" t="s">
        <v>471</v>
      </c>
      <c r="Q6" s="487" t="s">
        <v>343</v>
      </c>
      <c r="R6" s="604"/>
      <c r="S6" s="604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4"/>
      <c r="C7" s="447"/>
      <c r="D7" s="444"/>
      <c r="E7" s="447"/>
      <c r="F7" s="444"/>
      <c r="G7" s="449"/>
      <c r="H7" s="444"/>
      <c r="I7" s="447"/>
      <c r="J7" s="444"/>
      <c r="K7" s="445"/>
      <c r="L7" s="452"/>
      <c r="M7" s="445"/>
      <c r="N7" s="444"/>
      <c r="O7" s="447"/>
      <c r="P7" s="444"/>
      <c r="Q7" s="487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4"/>
      <c r="C8" s="455"/>
      <c r="D8" s="454"/>
      <c r="E8" s="447"/>
      <c r="F8" s="444"/>
      <c r="G8" s="446"/>
      <c r="H8" s="444"/>
      <c r="I8" s="446"/>
      <c r="J8" s="454"/>
      <c r="K8" s="456" t="s">
        <v>45</v>
      </c>
      <c r="L8" s="457"/>
      <c r="M8" s="456"/>
      <c r="N8" s="444"/>
      <c r="O8" s="447"/>
      <c r="P8" s="454"/>
      <c r="Q8" s="458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59"/>
      <c r="C9" s="460">
        <v>3</v>
      </c>
      <c r="D9" s="461"/>
      <c r="E9" s="460">
        <v>1.75</v>
      </c>
      <c r="F9" s="461"/>
      <c r="G9" s="460">
        <v>3</v>
      </c>
      <c r="H9" s="462">
        <v>2.5</v>
      </c>
      <c r="I9" s="460">
        <f>H9-I11</f>
        <v>2.1</v>
      </c>
      <c r="J9" s="461"/>
      <c r="K9" s="460">
        <v>3</v>
      </c>
      <c r="L9" s="461">
        <v>2</v>
      </c>
      <c r="M9" s="460">
        <f>L9-M11</f>
        <v>2</v>
      </c>
      <c r="N9" s="463">
        <v>2.5</v>
      </c>
      <c r="O9" s="460">
        <f>N9-O11</f>
        <v>2.5</v>
      </c>
      <c r="P9" s="454">
        <v>2.75</v>
      </c>
      <c r="Q9" s="464">
        <f>P9-Q11</f>
        <v>2.0499999999999998</v>
      </c>
      <c r="R9" s="536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5"/>
      <c r="C10" s="466"/>
      <c r="D10" s="463"/>
      <c r="E10" s="467"/>
      <c r="F10" s="468"/>
      <c r="G10" s="469"/>
      <c r="H10" s="470"/>
      <c r="I10" s="467"/>
      <c r="J10" s="465"/>
      <c r="K10" s="471"/>
      <c r="L10" s="472"/>
      <c r="M10" s="471"/>
      <c r="N10" s="444"/>
      <c r="O10" s="446"/>
      <c r="P10" s="454"/>
      <c r="Q10" s="449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3"/>
      <c r="C11" s="474"/>
      <c r="D11" s="475"/>
      <c r="E11" s="476"/>
      <c r="F11" s="477"/>
      <c r="G11" s="474"/>
      <c r="H11" s="478" t="s">
        <v>53</v>
      </c>
      <c r="I11" s="479">
        <v>0.4</v>
      </c>
      <c r="J11" s="477"/>
      <c r="K11" s="480"/>
      <c r="L11" s="478" t="s">
        <v>53</v>
      </c>
      <c r="M11" s="480">
        <v>0</v>
      </c>
      <c r="N11" s="478" t="s">
        <v>53</v>
      </c>
      <c r="O11" s="479">
        <v>0</v>
      </c>
      <c r="P11" s="477" t="s">
        <v>54</v>
      </c>
      <c r="Q11" s="481">
        <v>0.7</v>
      </c>
      <c r="R11" s="545" t="s">
        <v>401</v>
      </c>
      <c r="S11" s="545" t="s">
        <v>82</v>
      </c>
      <c r="T11" s="558" t="s">
        <v>314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0" t="s">
        <v>318</v>
      </c>
      <c r="C12" s="520" t="s">
        <v>213</v>
      </c>
      <c r="D12" s="527" t="s">
        <v>587</v>
      </c>
      <c r="E12" s="520" t="s">
        <v>59</v>
      </c>
      <c r="F12" s="541" t="s">
        <v>61</v>
      </c>
      <c r="G12" s="500" t="s">
        <v>59</v>
      </c>
      <c r="H12" s="543" t="s">
        <v>382</v>
      </c>
      <c r="I12" s="500" t="s">
        <v>59</v>
      </c>
      <c r="J12" s="528" t="s">
        <v>501</v>
      </c>
      <c r="K12" s="500" t="s">
        <v>59</v>
      </c>
      <c r="L12" s="528" t="s">
        <v>312</v>
      </c>
      <c r="M12" s="500" t="s">
        <v>59</v>
      </c>
      <c r="N12" s="522" t="s">
        <v>322</v>
      </c>
      <c r="O12" s="500" t="s">
        <v>213</v>
      </c>
      <c r="P12" s="530" t="s">
        <v>324</v>
      </c>
      <c r="Q12" s="569" t="s">
        <v>59</v>
      </c>
      <c r="R12" s="545" t="s">
        <v>60</v>
      </c>
      <c r="S12" s="549" t="s">
        <v>65</v>
      </c>
      <c r="T12" s="560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42" t="s">
        <v>359</v>
      </c>
      <c r="C13" s="525" t="s">
        <v>70</v>
      </c>
      <c r="D13" s="542" t="s">
        <v>218</v>
      </c>
      <c r="E13" s="525" t="s">
        <v>87</v>
      </c>
      <c r="F13" s="542" t="s">
        <v>262</v>
      </c>
      <c r="G13" s="525" t="s">
        <v>225</v>
      </c>
      <c r="H13" s="542" t="s">
        <v>340</v>
      </c>
      <c r="I13" s="525" t="s">
        <v>87</v>
      </c>
      <c r="J13" s="542" t="s">
        <v>459</v>
      </c>
      <c r="K13" s="525" t="s">
        <v>59</v>
      </c>
      <c r="L13" s="542" t="s">
        <v>456</v>
      </c>
      <c r="M13" s="525" t="s">
        <v>87</v>
      </c>
      <c r="N13" s="542" t="s">
        <v>339</v>
      </c>
      <c r="O13" s="525" t="s">
        <v>261</v>
      </c>
      <c r="P13" s="542" t="s">
        <v>339</v>
      </c>
      <c r="Q13" s="500" t="s">
        <v>386</v>
      </c>
      <c r="R13" s="547" t="s">
        <v>75</v>
      </c>
      <c r="S13" s="545" t="s">
        <v>249</v>
      </c>
      <c r="T13" s="55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42" t="s">
        <v>456</v>
      </c>
      <c r="C14" s="525" t="s">
        <v>611</v>
      </c>
      <c r="D14" s="542"/>
      <c r="E14" s="525"/>
      <c r="F14" s="542" t="s">
        <v>456</v>
      </c>
      <c r="G14" s="525" t="s">
        <v>72</v>
      </c>
      <c r="H14" s="542"/>
      <c r="I14" s="525"/>
      <c r="J14" s="542"/>
      <c r="K14" s="525"/>
      <c r="L14" s="542"/>
      <c r="M14" s="525"/>
      <c r="N14" s="542"/>
      <c r="O14" s="525"/>
      <c r="P14" s="542" t="s">
        <v>359</v>
      </c>
      <c r="Q14" s="525" t="s">
        <v>72</v>
      </c>
      <c r="R14" s="547" t="s">
        <v>317</v>
      </c>
      <c r="S14" s="548" t="s">
        <v>326</v>
      </c>
      <c r="T14" s="559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42"/>
      <c r="C15" s="575"/>
      <c r="D15" s="542"/>
      <c r="E15" s="525"/>
      <c r="F15" s="543"/>
      <c r="G15" s="525"/>
      <c r="H15" s="542"/>
      <c r="I15" s="525"/>
      <c r="J15" s="542"/>
      <c r="K15" s="525"/>
      <c r="L15" s="543"/>
      <c r="M15" s="526"/>
      <c r="N15" s="550"/>
      <c r="P15" s="550"/>
      <c r="Q15" s="525"/>
      <c r="R15" s="547" t="s">
        <v>63</v>
      </c>
      <c r="S15" s="545" t="s">
        <v>358</v>
      </c>
      <c r="T15" s="560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09"/>
      <c r="C16" s="447"/>
      <c r="D16" s="514"/>
      <c r="E16" s="510"/>
      <c r="F16" s="509"/>
      <c r="G16" s="447"/>
      <c r="H16" s="511"/>
      <c r="I16" s="447"/>
      <c r="J16" s="542"/>
      <c r="K16" s="525"/>
      <c r="L16" s="513"/>
      <c r="M16" s="447"/>
      <c r="N16" s="509"/>
      <c r="O16" s="525"/>
      <c r="P16" s="542"/>
      <c r="Q16" s="525"/>
      <c r="R16" s="581" t="s">
        <v>312</v>
      </c>
      <c r="S16" s="551" t="s">
        <v>262</v>
      </c>
      <c r="T16" s="558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4"/>
      <c r="C17" s="488"/>
      <c r="D17" s="514" t="s">
        <v>315</v>
      </c>
      <c r="E17" s="489" t="s">
        <v>74</v>
      </c>
      <c r="F17" s="514" t="s">
        <v>315</v>
      </c>
      <c r="G17" s="490" t="s">
        <v>36</v>
      </c>
      <c r="H17" s="544" t="s">
        <v>314</v>
      </c>
      <c r="I17" s="570" t="s">
        <v>74</v>
      </c>
      <c r="J17" s="444"/>
      <c r="K17" s="447"/>
      <c r="L17" s="544"/>
      <c r="M17" s="570"/>
      <c r="N17" s="544"/>
      <c r="O17" s="491"/>
      <c r="P17" s="492" t="s">
        <v>54</v>
      </c>
      <c r="Q17" s="493">
        <v>0.4</v>
      </c>
      <c r="R17" s="605" t="s">
        <v>577</v>
      </c>
      <c r="S17" s="606"/>
      <c r="T17" s="607"/>
      <c r="U17" s="608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4">
        <f>B51</f>
        <v>1.9484536082474229</v>
      </c>
      <c r="C18" s="495"/>
      <c r="D18" s="494">
        <f>D51</f>
        <v>1.1365979381443299</v>
      </c>
      <c r="E18" s="496"/>
      <c r="F18" s="494">
        <f>F51</f>
        <v>1.9484536082474229</v>
      </c>
      <c r="G18" s="495"/>
      <c r="H18" s="494">
        <f>H51</f>
        <v>1.3639175257731959</v>
      </c>
      <c r="I18" s="495"/>
      <c r="J18" s="497">
        <f>J51</f>
        <v>1.9484536082474229</v>
      </c>
      <c r="K18" s="495"/>
      <c r="L18" s="497">
        <f>L51</f>
        <v>1.2989690721649485</v>
      </c>
      <c r="M18" s="495"/>
      <c r="N18" s="494">
        <f>N51</f>
        <v>1.6237113402061856</v>
      </c>
      <c r="O18" s="496"/>
      <c r="P18" s="498">
        <f>P51</f>
        <v>1.3314432989690721</v>
      </c>
      <c r="Q18" s="496">
        <f>P18+Q17</f>
        <v>1.7314432989690722</v>
      </c>
      <c r="R18" s="609"/>
      <c r="S18" s="610"/>
      <c r="T18" s="610"/>
      <c r="U18" s="611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06" t="s">
        <v>445</v>
      </c>
      <c r="C19" s="507" t="s">
        <v>614</v>
      </c>
      <c r="D19" s="506"/>
      <c r="E19" s="507"/>
      <c r="F19" s="499" t="s">
        <v>527</v>
      </c>
      <c r="G19" s="501" t="s">
        <v>618</v>
      </c>
      <c r="H19" s="506"/>
      <c r="I19" s="507"/>
      <c r="J19" s="499" t="s">
        <v>527</v>
      </c>
      <c r="K19" s="500" t="s">
        <v>619</v>
      </c>
      <c r="L19" s="502"/>
      <c r="M19" s="500"/>
      <c r="N19" s="506" t="s">
        <v>373</v>
      </c>
      <c r="O19" s="507" t="s">
        <v>617</v>
      </c>
      <c r="P19" s="506"/>
      <c r="Q19" s="507"/>
      <c r="R19" s="612" t="s">
        <v>90</v>
      </c>
      <c r="S19" s="613"/>
      <c r="T19" s="613"/>
      <c r="U19" s="614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6" t="s">
        <v>370</v>
      </c>
      <c r="C20" s="500" t="s">
        <v>615</v>
      </c>
      <c r="D20" s="499"/>
      <c r="E20" s="500"/>
      <c r="F20" s="505" t="s">
        <v>425</v>
      </c>
      <c r="G20" s="503" t="s">
        <v>620</v>
      </c>
      <c r="H20" s="506"/>
      <c r="I20" s="500"/>
      <c r="J20" s="506" t="s">
        <v>370</v>
      </c>
      <c r="K20" s="501" t="s">
        <v>616</v>
      </c>
      <c r="L20" s="502"/>
      <c r="M20" s="500"/>
      <c r="N20" s="502"/>
      <c r="O20" s="500"/>
      <c r="P20" s="499"/>
      <c r="Q20" s="500"/>
      <c r="R20" s="537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499"/>
      <c r="C21" s="524"/>
      <c r="D21" s="500"/>
      <c r="E21" s="500"/>
      <c r="F21" s="504"/>
      <c r="G21" s="503"/>
      <c r="H21" s="505"/>
      <c r="I21" s="107"/>
      <c r="J21" s="499" t="s">
        <v>612</v>
      </c>
      <c r="K21" s="500" t="s">
        <v>613</v>
      </c>
      <c r="L21" s="502"/>
      <c r="M21" s="500"/>
      <c r="N21" s="24"/>
      <c r="O21" s="107"/>
      <c r="P21" s="24"/>
      <c r="Q21" s="20"/>
      <c r="R21" s="168"/>
      <c r="S21" s="615" t="s">
        <v>93</v>
      </c>
      <c r="T21" s="615"/>
      <c r="U21" s="616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06"/>
      <c r="I22" s="107"/>
      <c r="J22" s="46"/>
      <c r="L22" s="173" t="s">
        <v>117</v>
      </c>
      <c r="M22" s="172"/>
      <c r="N22" s="499"/>
      <c r="O22" s="500"/>
      <c r="P22" s="176"/>
      <c r="Q22" s="177"/>
      <c r="R22" s="588"/>
      <c r="S22" s="589"/>
      <c r="T22" s="589"/>
      <c r="U22" s="590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499"/>
      <c r="K23" s="500"/>
      <c r="L23" s="159"/>
      <c r="M23" s="185"/>
      <c r="N23" s="186"/>
      <c r="O23" s="187"/>
      <c r="P23" s="159"/>
      <c r="Q23" s="177"/>
      <c r="R23" s="591"/>
      <c r="S23" s="592"/>
      <c r="T23" s="592"/>
      <c r="U23" s="593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14.175257731958766</v>
      </c>
      <c r="C30" s="218"/>
      <c r="D30" s="219">
        <f>D44</f>
        <v>-9.8144329896907223</v>
      </c>
      <c r="E30" s="220"/>
      <c r="F30" s="221">
        <f>F44</f>
        <v>13.175257731958766</v>
      </c>
      <c r="G30" s="221"/>
      <c r="H30" s="217">
        <f>H44</f>
        <v>-9.5773195876288639</v>
      </c>
      <c r="I30" s="218"/>
      <c r="J30" s="217">
        <f>J44</f>
        <v>9.1752577319587658</v>
      </c>
      <c r="K30" s="222"/>
      <c r="L30" s="217">
        <f>L44</f>
        <v>-7.2164948453608275</v>
      </c>
      <c r="M30" s="222"/>
      <c r="N30" s="217">
        <f>N44</f>
        <v>7.979381443298962</v>
      </c>
      <c r="O30" s="222"/>
      <c r="P30" s="152">
        <f>P44</f>
        <v>-17.896907216494853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3"/>
      <c r="C31" s="532"/>
      <c r="D31" s="523" t="s">
        <v>25</v>
      </c>
      <c r="E31" s="532" t="s">
        <v>99</v>
      </c>
      <c r="F31" s="533"/>
      <c r="G31" s="534"/>
      <c r="H31" s="535" t="s">
        <v>609</v>
      </c>
      <c r="I31" s="532" t="s">
        <v>610</v>
      </c>
      <c r="J31" s="523"/>
      <c r="K31" s="532"/>
      <c r="L31" s="538" t="s">
        <v>27</v>
      </c>
      <c r="M31" s="534" t="s">
        <v>99</v>
      </c>
      <c r="N31" s="552" t="s">
        <v>337</v>
      </c>
      <c r="O31" s="554" t="s">
        <v>338</v>
      </c>
      <c r="P31" s="523" t="s">
        <v>50</v>
      </c>
      <c r="Q31" s="532" t="s">
        <v>433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76">
      <c r="A32" s="96"/>
      <c r="B32" s="523"/>
      <c r="C32" s="500"/>
      <c r="D32" s="523" t="s">
        <v>34</v>
      </c>
      <c r="E32" s="587" t="s">
        <v>547</v>
      </c>
      <c r="F32" s="552"/>
      <c r="G32" s="587"/>
      <c r="H32" s="523"/>
      <c r="I32" s="532"/>
      <c r="J32" s="523"/>
      <c r="K32" s="587"/>
      <c r="L32" s="506" t="s">
        <v>307</v>
      </c>
      <c r="M32" s="587" t="s">
        <v>599</v>
      </c>
      <c r="N32" s="552"/>
      <c r="O32" s="554"/>
      <c r="P32" s="526" t="s">
        <v>28</v>
      </c>
      <c r="Q32" s="532" t="s">
        <v>598</v>
      </c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1"/>
      <c r="C33" s="107"/>
      <c r="D33" s="242"/>
      <c r="E33" s="518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319</v>
      </c>
      <c r="T33" s="232" t="s">
        <v>109</v>
      </c>
      <c r="U33" s="247" t="s">
        <v>311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94"/>
      <c r="W40" s="595"/>
      <c r="X40" s="595"/>
      <c r="Y40" s="596"/>
      <c r="Z40" s="302"/>
      <c r="AA40" s="303"/>
    </row>
    <row r="41" spans="1:33" ht="73" thickBot="1">
      <c r="A41" s="304" t="s">
        <v>136</v>
      </c>
      <c r="B41" s="305">
        <f>SUM(B43:T43)</f>
        <v>19.400000000000002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97"/>
      <c r="W41" s="598"/>
      <c r="X41" s="598"/>
      <c r="Y41" s="599"/>
      <c r="Z41" s="302"/>
      <c r="AA41" s="303"/>
    </row>
    <row r="42" spans="1:33" ht="72">
      <c r="A42" s="304" t="s">
        <v>137</v>
      </c>
      <c r="B42" s="294">
        <f>B40/B41</f>
        <v>26.391752577319586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3</v>
      </c>
      <c r="C43" s="295"/>
      <c r="D43" s="296">
        <f>E9</f>
        <v>1.75</v>
      </c>
      <c r="E43" s="297"/>
      <c r="F43" s="296">
        <f>G9</f>
        <v>3</v>
      </c>
      <c r="G43" s="297"/>
      <c r="H43" s="278">
        <f>I9</f>
        <v>2.1</v>
      </c>
      <c r="I43" s="299"/>
      <c r="J43" s="278">
        <f>K9</f>
        <v>3</v>
      </c>
      <c r="K43" s="299"/>
      <c r="L43" s="278">
        <f>M9</f>
        <v>2</v>
      </c>
      <c r="M43" s="299"/>
      <c r="N43" s="278">
        <f>O9</f>
        <v>2.5</v>
      </c>
      <c r="O43" s="299"/>
      <c r="P43" s="311">
        <f>Q9</f>
        <v>2.0499999999999998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14.175257731958766</v>
      </c>
      <c r="C44" s="295"/>
      <c r="D44" s="318">
        <f>B40/B41*D43-D45</f>
        <v>-9.8144329896907223</v>
      </c>
      <c r="E44" s="319"/>
      <c r="F44" s="318">
        <f>B40/B41*F43-F45</f>
        <v>13.175257731958766</v>
      </c>
      <c r="G44" s="320"/>
      <c r="H44" s="321">
        <f>B40/B41*H43-H45</f>
        <v>-9.5773195876288639</v>
      </c>
      <c r="I44" s="322"/>
      <c r="J44" s="321">
        <f>B40/B41*J43-J45</f>
        <v>9.1752577319587658</v>
      </c>
      <c r="K44" s="322"/>
      <c r="L44" s="321">
        <f>B40/B41*L43-L45</f>
        <v>-7.2164948453608275</v>
      </c>
      <c r="M44" s="322"/>
      <c r="N44" s="321">
        <f>B40/B41*N43-N45</f>
        <v>7.979381443298962</v>
      </c>
      <c r="O44" s="322"/>
      <c r="P44" s="311">
        <f>B40/B41*P43-P45</f>
        <v>-17.896907216494853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65</v>
      </c>
      <c r="C45" s="295"/>
      <c r="D45" s="331">
        <v>56</v>
      </c>
      <c r="E45" s="130"/>
      <c r="F45" s="318">
        <v>66</v>
      </c>
      <c r="G45" s="320"/>
      <c r="H45" s="332">
        <v>65</v>
      </c>
      <c r="J45" s="321">
        <v>70</v>
      </c>
      <c r="K45" s="322"/>
      <c r="L45" s="321">
        <v>60</v>
      </c>
      <c r="M45" s="322"/>
      <c r="N45" s="333">
        <v>58</v>
      </c>
      <c r="O45" s="322"/>
      <c r="P45" s="334">
        <v>72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352</v>
      </c>
      <c r="C46" s="343">
        <v>65</v>
      </c>
      <c r="D46" s="344" t="s">
        <v>361</v>
      </c>
      <c r="E46" s="345">
        <v>66</v>
      </c>
      <c r="F46" s="346" t="s">
        <v>353</v>
      </c>
      <c r="G46" s="347">
        <v>66</v>
      </c>
      <c r="H46" s="346" t="s">
        <v>146</v>
      </c>
      <c r="I46" s="347">
        <v>65</v>
      </c>
      <c r="J46" s="346" t="s">
        <v>354</v>
      </c>
      <c r="K46" s="348">
        <v>70</v>
      </c>
      <c r="L46" s="349" t="s">
        <v>355</v>
      </c>
      <c r="M46" s="348">
        <v>60</v>
      </c>
      <c r="N46" s="349" t="s">
        <v>304</v>
      </c>
      <c r="O46" s="348">
        <v>65</v>
      </c>
      <c r="P46" s="350" t="s">
        <v>356</v>
      </c>
      <c r="Q46" s="351">
        <v>72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12.6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40.634920634920633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79.175257731958766</v>
      </c>
      <c r="C50" s="354"/>
      <c r="D50" s="354">
        <f>B42*D43</f>
        <v>46.185567010309278</v>
      </c>
      <c r="E50" s="354"/>
      <c r="F50" s="354">
        <f>B42*F43</f>
        <v>79.175257731958766</v>
      </c>
      <c r="G50" s="354"/>
      <c r="H50" s="359">
        <f>B42*H43</f>
        <v>55.422680412371136</v>
      </c>
      <c r="I50" s="354"/>
      <c r="J50" s="354">
        <f>B42*J43</f>
        <v>79.175257731958766</v>
      </c>
      <c r="K50" s="354"/>
      <c r="L50" s="354">
        <f>B42*L43</f>
        <v>52.783505154639172</v>
      </c>
      <c r="M50" s="354"/>
      <c r="N50" s="359">
        <f>B42*N43</f>
        <v>65.979381443298962</v>
      </c>
      <c r="O50" s="354"/>
      <c r="P50" s="354">
        <f>B42*P43</f>
        <v>54.103092783505147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1.9484536082474229</v>
      </c>
      <c r="C51" s="354"/>
      <c r="D51" s="354">
        <f>D50/B49</f>
        <v>1.1365979381443299</v>
      </c>
      <c r="E51" s="354"/>
      <c r="F51" s="354">
        <f>F50/B49</f>
        <v>1.9484536082474229</v>
      </c>
      <c r="G51" s="354"/>
      <c r="H51" s="354">
        <f>H50/B49</f>
        <v>1.3639175257731959</v>
      </c>
      <c r="I51" s="354"/>
      <c r="J51" s="354">
        <f>J50/B49</f>
        <v>1.9484536082474229</v>
      </c>
      <c r="K51" s="354"/>
      <c r="L51" s="354">
        <f>L50/B49</f>
        <v>1.2989690721649485</v>
      </c>
      <c r="M51" s="354"/>
      <c r="N51" s="359">
        <f>N50/B49</f>
        <v>1.6237113402061856</v>
      </c>
      <c r="O51" s="354"/>
      <c r="P51" s="354">
        <f>P50/B49</f>
        <v>1.3314432989690721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0</v>
      </c>
      <c r="H69" s="376">
        <v>0</v>
      </c>
      <c r="I69" s="377">
        <v>0</v>
      </c>
      <c r="J69" s="376">
        <f>SUM(C69:H69)</f>
        <v>1.4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8">
    <mergeCell ref="R22:U23"/>
    <mergeCell ref="V40:Y41"/>
    <mergeCell ref="R3:U3"/>
    <mergeCell ref="T4:T5"/>
    <mergeCell ref="R6:S6"/>
    <mergeCell ref="R17:U18"/>
    <mergeCell ref="R19:U19"/>
    <mergeCell ref="S21:U2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8 Aug </vt:lpstr>
      <vt:lpstr>12 Aug  (2)</vt:lpstr>
      <vt:lpstr>25 Aug</vt:lpstr>
      <vt:lpstr> 27 Aug</vt:lpstr>
      <vt:lpstr> 27 Aug (2)</vt:lpstr>
      <vt:lpstr>7 Aug  (2)</vt:lpstr>
      <vt:lpstr>5 Aug  (4)</vt:lpstr>
      <vt:lpstr>5 Aug  (2)</vt:lpstr>
      <vt:lpstr>5 Aug  (3)</vt:lpstr>
      <vt:lpstr>2 Jan </vt:lpstr>
      <vt:lpstr>5 Jan</vt:lpstr>
      <vt:lpstr>6 Jan</vt:lpstr>
      <vt:lpstr>7 Jan</vt:lpstr>
      <vt:lpstr>8 Jan</vt:lpstr>
      <vt:lpstr>9 Jan</vt:lpstr>
      <vt:lpstr>12 Jan</vt:lpstr>
      <vt:lpstr>13 Jan</vt:lpstr>
      <vt:lpstr>14 Jan</vt:lpstr>
      <vt:lpstr>15 Jan</vt:lpstr>
      <vt:lpstr>16 Jan</vt:lpstr>
      <vt:lpstr>19 Jan</vt:lpstr>
      <vt:lpstr>20 Jan</vt:lpstr>
      <vt:lpstr>21 Jan</vt:lpstr>
      <vt:lpstr>22 Jan</vt:lpstr>
      <vt:lpstr>23 Jan</vt:lpstr>
      <vt:lpstr>26 Jan</vt:lpstr>
      <vt:lpstr>27 Jan</vt:lpstr>
      <vt:lpstr>28 Jan</vt:lpstr>
      <vt:lpstr>29 Jan</vt:lpstr>
      <vt:lpstr>30 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CHAN, TMH RPT(PHYSIO)</dc:creator>
  <cp:keywords/>
  <dc:description/>
  <cp:lastModifiedBy>Alvin Wong</cp:lastModifiedBy>
  <cp:revision/>
  <dcterms:created xsi:type="dcterms:W3CDTF">2025-07-29T06:29:20Z</dcterms:created>
  <dcterms:modified xsi:type="dcterms:W3CDTF">2026-04-18T13:18:40Z</dcterms:modified>
  <cp:category/>
  <cp:contentStatus/>
</cp:coreProperties>
</file>