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alvin/Desktop/RBIP duty list web app/"/>
    </mc:Choice>
  </mc:AlternateContent>
  <xr:revisionPtr revIDLastSave="0" documentId="13_ncr:1_{57F7794B-A010-FD4D-B642-AE6CA74C1380}" xr6:coauthVersionLast="47" xr6:coauthVersionMax="47" xr10:uidLastSave="{00000000-0000-0000-0000-000000000000}"/>
  <bookViews>
    <workbookView xWindow="40960" yWindow="620" windowWidth="38400" windowHeight="20980" activeTab="16" xr2:uid="{00000000-000D-0000-FFFF-FFFF00000000}"/>
  </bookViews>
  <sheets>
    <sheet name="8 Aug " sheetId="13" state="hidden" r:id="rId1"/>
    <sheet name="12 Aug  (2)" sheetId="18" state="hidden" r:id="rId2"/>
    <sheet name="25 Aug" sheetId="26" state="hidden" r:id="rId3"/>
    <sheet name=" 27 Aug" sheetId="29" state="hidden" r:id="rId4"/>
    <sheet name=" 27 Aug (2)" sheetId="30" state="hidden" r:id="rId5"/>
    <sheet name="7 Aug  (2)" sheetId="12" state="hidden" r:id="rId6"/>
    <sheet name="5 Aug  (4)" sheetId="8" state="hidden" r:id="rId7"/>
    <sheet name="5 Aug  (2)" sheetId="6" state="hidden" r:id="rId8"/>
    <sheet name="5 Aug  (3)" sheetId="7" state="hidden" r:id="rId9"/>
    <sheet name="1 Dec" sheetId="78" r:id="rId10"/>
    <sheet name="2 Dec" sheetId="79" r:id="rId11"/>
    <sheet name="3 Dec" sheetId="80" r:id="rId12"/>
    <sheet name="4 Dec" sheetId="82" r:id="rId13"/>
    <sheet name="5 Dec" sheetId="83" r:id="rId14"/>
    <sheet name="8 Dec" sheetId="84" r:id="rId15"/>
    <sheet name="9 Dec" sheetId="85" r:id="rId16"/>
    <sheet name="10 Dec" sheetId="86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82" l="1"/>
  <c r="B49" i="82"/>
  <c r="B50" i="82"/>
  <c r="B51" i="82"/>
  <c r="B42" i="86"/>
  <c r="B50" i="86"/>
  <c r="B49" i="86"/>
  <c r="B51" i="86"/>
  <c r="B44" i="86"/>
  <c r="P18" i="78"/>
  <c r="I9" i="84"/>
  <c r="M9" i="84"/>
  <c r="D73" i="86"/>
  <c r="C74" i="86"/>
  <c r="C73" i="86"/>
  <c r="H50" i="86"/>
  <c r="B42" i="80"/>
  <c r="B41" i="80"/>
  <c r="M9" i="80"/>
  <c r="B49" i="80"/>
  <c r="F69" i="86"/>
  <c r="J69" i="86" s="1"/>
  <c r="B48" i="86" s="1"/>
  <c r="J43" i="86"/>
  <c r="F43" i="86"/>
  <c r="D43" i="86"/>
  <c r="B43" i="86"/>
  <c r="B40" i="86"/>
  <c r="Q9" i="86"/>
  <c r="P43" i="86" s="1"/>
  <c r="O9" i="86"/>
  <c r="N43" i="86" s="1"/>
  <c r="M9" i="86"/>
  <c r="L43" i="86" s="1"/>
  <c r="I9" i="86"/>
  <c r="H43" i="86" s="1"/>
  <c r="E1" i="86"/>
  <c r="N50" i="80" l="1"/>
  <c r="N51" i="80" s="1"/>
  <c r="N18" i="80" s="1"/>
  <c r="B44" i="80"/>
  <c r="B41" i="86"/>
  <c r="H44" i="86" s="1"/>
  <c r="H30" i="86" s="1"/>
  <c r="C74" i="85"/>
  <c r="F69" i="85"/>
  <c r="J69" i="85" s="1"/>
  <c r="B48" i="85" s="1"/>
  <c r="J43" i="85"/>
  <c r="F43" i="85"/>
  <c r="D43" i="85"/>
  <c r="B43" i="85"/>
  <c r="B40" i="85"/>
  <c r="Q9" i="85"/>
  <c r="P43" i="85" s="1"/>
  <c r="O9" i="85"/>
  <c r="N43" i="85" s="1"/>
  <c r="M9" i="85"/>
  <c r="L43" i="85" s="1"/>
  <c r="I9" i="85"/>
  <c r="H43" i="85" s="1"/>
  <c r="E1" i="85"/>
  <c r="D73" i="85" s="1"/>
  <c r="J44" i="86" l="1"/>
  <c r="J30" i="86" s="1"/>
  <c r="N44" i="86"/>
  <c r="N30" i="86" s="1"/>
  <c r="B30" i="86"/>
  <c r="L44" i="86"/>
  <c r="L30" i="86" s="1"/>
  <c r="P50" i="86"/>
  <c r="P51" i="86" s="1"/>
  <c r="P18" i="86" s="1"/>
  <c r="Q18" i="86" s="1"/>
  <c r="D44" i="86"/>
  <c r="D30" i="86" s="1"/>
  <c r="P44" i="86"/>
  <c r="P30" i="86" s="1"/>
  <c r="F44" i="86"/>
  <c r="F30" i="86" s="1"/>
  <c r="J50" i="86"/>
  <c r="J51" i="86" s="1"/>
  <c r="J18" i="86" s="1"/>
  <c r="B49" i="85"/>
  <c r="B41" i="85"/>
  <c r="P44" i="85" s="1"/>
  <c r="P30" i="85" s="1"/>
  <c r="C73" i="85"/>
  <c r="C74" i="84"/>
  <c r="F69" i="84"/>
  <c r="J69" i="84" s="1"/>
  <c r="B48" i="84" s="1"/>
  <c r="J43" i="84"/>
  <c r="F43" i="84"/>
  <c r="D43" i="84"/>
  <c r="B43" i="84"/>
  <c r="B40" i="84"/>
  <c r="Q9" i="84"/>
  <c r="P43" i="84" s="1"/>
  <c r="O9" i="84"/>
  <c r="N43" i="84" s="1"/>
  <c r="L43" i="84"/>
  <c r="H43" i="84"/>
  <c r="E1" i="84"/>
  <c r="D73" i="84" s="1"/>
  <c r="N50" i="86" l="1"/>
  <c r="N51" i="86" s="1"/>
  <c r="N18" i="86" s="1"/>
  <c r="F50" i="86"/>
  <c r="F51" i="86" s="1"/>
  <c r="F18" i="86" s="1"/>
  <c r="B18" i="86"/>
  <c r="D50" i="86"/>
  <c r="D51" i="86" s="1"/>
  <c r="D18" i="86" s="1"/>
  <c r="H51" i="86"/>
  <c r="H18" i="86" s="1"/>
  <c r="N44" i="85"/>
  <c r="N30" i="85" s="1"/>
  <c r="L50" i="86"/>
  <c r="L51" i="86" s="1"/>
  <c r="L18" i="86" s="1"/>
  <c r="J44" i="85"/>
  <c r="J30" i="85" s="1"/>
  <c r="B42" i="85"/>
  <c r="H50" i="85" s="1"/>
  <c r="H51" i="85" s="1"/>
  <c r="H18" i="85" s="1"/>
  <c r="L44" i="85"/>
  <c r="L30" i="85" s="1"/>
  <c r="B44" i="85"/>
  <c r="B30" i="85" s="1"/>
  <c r="H44" i="85"/>
  <c r="H30" i="85" s="1"/>
  <c r="D44" i="85"/>
  <c r="D30" i="85" s="1"/>
  <c r="F44" i="85"/>
  <c r="F30" i="85" s="1"/>
  <c r="P50" i="85"/>
  <c r="P51" i="85" s="1"/>
  <c r="P18" i="85" s="1"/>
  <c r="Q18" i="85" s="1"/>
  <c r="L50" i="85"/>
  <c r="L51" i="85" s="1"/>
  <c r="L18" i="85" s="1"/>
  <c r="D50" i="85"/>
  <c r="D51" i="85" s="1"/>
  <c r="D18" i="85" s="1"/>
  <c r="N50" i="85"/>
  <c r="N51" i="85" s="1"/>
  <c r="N18" i="85" s="1"/>
  <c r="F50" i="85"/>
  <c r="F51" i="85" s="1"/>
  <c r="F18" i="85" s="1"/>
  <c r="B41" i="84"/>
  <c r="N44" i="84" s="1"/>
  <c r="N30" i="84" s="1"/>
  <c r="C73" i="84"/>
  <c r="B49" i="84"/>
  <c r="C74" i="83"/>
  <c r="J69" i="83"/>
  <c r="B48" i="83" s="1"/>
  <c r="F69" i="83"/>
  <c r="J43" i="83"/>
  <c r="F43" i="83"/>
  <c r="D43" i="83"/>
  <c r="B43" i="83"/>
  <c r="B40" i="83"/>
  <c r="Q9" i="83"/>
  <c r="P43" i="83" s="1"/>
  <c r="O9" i="83"/>
  <c r="N43" i="83" s="1"/>
  <c r="M9" i="83"/>
  <c r="L43" i="83" s="1"/>
  <c r="I9" i="83"/>
  <c r="H43" i="83" s="1"/>
  <c r="E1" i="83"/>
  <c r="D73" i="83" s="1"/>
  <c r="C74" i="82"/>
  <c r="F69" i="82"/>
  <c r="J69" i="82" s="1"/>
  <c r="B48" i="82" s="1"/>
  <c r="J43" i="82"/>
  <c r="F43" i="82"/>
  <c r="D43" i="82"/>
  <c r="B43" i="82"/>
  <c r="B40" i="82"/>
  <c r="Q9" i="82"/>
  <c r="P43" i="82" s="1"/>
  <c r="O9" i="82"/>
  <c r="N43" i="82" s="1"/>
  <c r="M9" i="82"/>
  <c r="L43" i="82" s="1"/>
  <c r="I9" i="82"/>
  <c r="H43" i="82" s="1"/>
  <c r="E1" i="82"/>
  <c r="D73" i="82" s="1"/>
  <c r="C74" i="80"/>
  <c r="F69" i="80"/>
  <c r="J69" i="80" s="1"/>
  <c r="B48" i="80" s="1"/>
  <c r="J43" i="80"/>
  <c r="F43" i="80"/>
  <c r="D43" i="80"/>
  <c r="B43" i="80"/>
  <c r="B40" i="80"/>
  <c r="Q9" i="80"/>
  <c r="P43" i="80" s="1"/>
  <c r="O9" i="80"/>
  <c r="N43" i="80" s="1"/>
  <c r="L43" i="80"/>
  <c r="I9" i="80"/>
  <c r="H43" i="80" s="1"/>
  <c r="E1" i="80"/>
  <c r="D73" i="80" s="1"/>
  <c r="C74" i="79"/>
  <c r="F69" i="79"/>
  <c r="J69" i="79" s="1"/>
  <c r="B48" i="79" s="1"/>
  <c r="J43" i="79"/>
  <c r="F43" i="79"/>
  <c r="D43" i="79"/>
  <c r="B43" i="79"/>
  <c r="B40" i="79"/>
  <c r="Q9" i="79"/>
  <c r="P43" i="79" s="1"/>
  <c r="O9" i="79"/>
  <c r="N43" i="79" s="1"/>
  <c r="M9" i="79"/>
  <c r="L43" i="79" s="1"/>
  <c r="I9" i="79"/>
  <c r="H43" i="79" s="1"/>
  <c r="E1" i="79"/>
  <c r="D73" i="79" s="1"/>
  <c r="J50" i="85" l="1"/>
  <c r="J51" i="85" s="1"/>
  <c r="J18" i="85" s="1"/>
  <c r="B50" i="85"/>
  <c r="B51" i="85" s="1"/>
  <c r="B18" i="85" s="1"/>
  <c r="D44" i="84"/>
  <c r="D30" i="84" s="1"/>
  <c r="P44" i="84"/>
  <c r="P30" i="84" s="1"/>
  <c r="F44" i="84"/>
  <c r="F30" i="84" s="1"/>
  <c r="H44" i="84"/>
  <c r="H30" i="84" s="1"/>
  <c r="J44" i="84"/>
  <c r="J30" i="84" s="1"/>
  <c r="B42" i="84"/>
  <c r="H50" i="84" s="1"/>
  <c r="H51" i="84" s="1"/>
  <c r="H18" i="84" s="1"/>
  <c r="L44" i="84"/>
  <c r="L30" i="84" s="1"/>
  <c r="B44" i="84"/>
  <c r="B30" i="84" s="1"/>
  <c r="B41" i="83"/>
  <c r="B44" i="83" s="1"/>
  <c r="B30" i="83" s="1"/>
  <c r="C73" i="83"/>
  <c r="B49" i="83"/>
  <c r="B41" i="82"/>
  <c r="J44" i="82" s="1"/>
  <c r="J30" i="82" s="1"/>
  <c r="C73" i="82"/>
  <c r="N44" i="80"/>
  <c r="N30" i="80" s="1"/>
  <c r="C73" i="80"/>
  <c r="B49" i="79"/>
  <c r="B41" i="79"/>
  <c r="P44" i="79" s="1"/>
  <c r="P30" i="79" s="1"/>
  <c r="C73" i="79"/>
  <c r="M9" i="78"/>
  <c r="O9" i="78"/>
  <c r="B30" i="80" l="1"/>
  <c r="L44" i="80"/>
  <c r="L30" i="80" s="1"/>
  <c r="F50" i="84"/>
  <c r="F51" i="84" s="1"/>
  <c r="F18" i="84" s="1"/>
  <c r="P50" i="84"/>
  <c r="P51" i="84" s="1"/>
  <c r="P18" i="84" s="1"/>
  <c r="Q18" i="84" s="1"/>
  <c r="B50" i="84"/>
  <c r="B51" i="84" s="1"/>
  <c r="B18" i="84" s="1"/>
  <c r="L50" i="84"/>
  <c r="L51" i="84" s="1"/>
  <c r="L18" i="84" s="1"/>
  <c r="N50" i="84"/>
  <c r="N51" i="84" s="1"/>
  <c r="N18" i="84" s="1"/>
  <c r="J50" i="84"/>
  <c r="J51" i="84" s="1"/>
  <c r="J18" i="84" s="1"/>
  <c r="D50" i="84"/>
  <c r="D51" i="84" s="1"/>
  <c r="D18" i="84" s="1"/>
  <c r="B42" i="83"/>
  <c r="B50" i="83" s="1"/>
  <c r="B51" i="83" s="1"/>
  <c r="B18" i="83" s="1"/>
  <c r="L44" i="83"/>
  <c r="L30" i="83" s="1"/>
  <c r="H44" i="83"/>
  <c r="H30" i="83" s="1"/>
  <c r="D44" i="83"/>
  <c r="D30" i="83" s="1"/>
  <c r="J44" i="83"/>
  <c r="J30" i="83" s="1"/>
  <c r="F44" i="83"/>
  <c r="F30" i="83" s="1"/>
  <c r="P44" i="83"/>
  <c r="P30" i="83" s="1"/>
  <c r="N44" i="83"/>
  <c r="N30" i="83" s="1"/>
  <c r="J50" i="83"/>
  <c r="J51" i="83" s="1"/>
  <c r="J18" i="83" s="1"/>
  <c r="D44" i="80"/>
  <c r="D30" i="80" s="1"/>
  <c r="D44" i="82"/>
  <c r="D30" i="82" s="1"/>
  <c r="J44" i="80"/>
  <c r="J30" i="80" s="1"/>
  <c r="N44" i="82"/>
  <c r="N30" i="82" s="1"/>
  <c r="F44" i="82"/>
  <c r="F30" i="82" s="1"/>
  <c r="P44" i="82"/>
  <c r="P30" i="82" s="1"/>
  <c r="H44" i="82"/>
  <c r="H30" i="82" s="1"/>
  <c r="L44" i="82"/>
  <c r="L30" i="82" s="1"/>
  <c r="B44" i="82"/>
  <c r="B30" i="82" s="1"/>
  <c r="H44" i="79"/>
  <c r="H30" i="79" s="1"/>
  <c r="F44" i="80"/>
  <c r="F30" i="80" s="1"/>
  <c r="P44" i="80"/>
  <c r="P30" i="80" s="1"/>
  <c r="H44" i="80"/>
  <c r="H30" i="80" s="1"/>
  <c r="J44" i="79"/>
  <c r="J30" i="79" s="1"/>
  <c r="L44" i="79"/>
  <c r="L30" i="79" s="1"/>
  <c r="B42" i="79"/>
  <c r="B50" i="79" s="1"/>
  <c r="B51" i="79" s="1"/>
  <c r="B18" i="79" s="1"/>
  <c r="B44" i="79"/>
  <c r="B30" i="79" s="1"/>
  <c r="D44" i="79"/>
  <c r="D30" i="79" s="1"/>
  <c r="F44" i="79"/>
  <c r="F30" i="79" s="1"/>
  <c r="N44" i="79"/>
  <c r="N30" i="79" s="1"/>
  <c r="C74" i="78"/>
  <c r="F69" i="78"/>
  <c r="J69" i="78" s="1"/>
  <c r="B48" i="78" s="1"/>
  <c r="J43" i="78"/>
  <c r="F43" i="78"/>
  <c r="D43" i="78"/>
  <c r="B43" i="78"/>
  <c r="B40" i="78"/>
  <c r="Q9" i="78"/>
  <c r="P43" i="78" s="1"/>
  <c r="N43" i="78"/>
  <c r="L43" i="78"/>
  <c r="I9" i="78"/>
  <c r="H43" i="78" s="1"/>
  <c r="E1" i="78"/>
  <c r="D73" i="78" s="1"/>
  <c r="N50" i="83" l="1"/>
  <c r="N51" i="83" s="1"/>
  <c r="N18" i="83" s="1"/>
  <c r="D50" i="83"/>
  <c r="D51" i="83" s="1"/>
  <c r="D18" i="83" s="1"/>
  <c r="H50" i="83"/>
  <c r="H51" i="83" s="1"/>
  <c r="H18" i="83" s="1"/>
  <c r="L50" i="83"/>
  <c r="L51" i="83" s="1"/>
  <c r="L18" i="83" s="1"/>
  <c r="P50" i="83"/>
  <c r="P51" i="83" s="1"/>
  <c r="P18" i="83" s="1"/>
  <c r="Q18" i="83" s="1"/>
  <c r="F50" i="83"/>
  <c r="F51" i="83" s="1"/>
  <c r="F18" i="83" s="1"/>
  <c r="P50" i="82"/>
  <c r="P51" i="82" s="1"/>
  <c r="P18" i="82" s="1"/>
  <c r="Q18" i="82" s="1"/>
  <c r="H50" i="82"/>
  <c r="H51" i="82" s="1"/>
  <c r="H18" i="82" s="1"/>
  <c r="J50" i="82"/>
  <c r="J51" i="82" s="1"/>
  <c r="J18" i="82" s="1"/>
  <c r="N50" i="82"/>
  <c r="N51" i="82" s="1"/>
  <c r="N18" i="82" s="1"/>
  <c r="F50" i="82"/>
  <c r="F51" i="82" s="1"/>
  <c r="F18" i="82" s="1"/>
  <c r="B18" i="82"/>
  <c r="L50" i="82"/>
  <c r="L51" i="82" s="1"/>
  <c r="L18" i="82" s="1"/>
  <c r="D50" i="82"/>
  <c r="D51" i="82" s="1"/>
  <c r="D18" i="82" s="1"/>
  <c r="J50" i="79"/>
  <c r="J51" i="79" s="1"/>
  <c r="J18" i="79" s="1"/>
  <c r="H50" i="79"/>
  <c r="H51" i="79" s="1"/>
  <c r="H18" i="79" s="1"/>
  <c r="L50" i="79"/>
  <c r="L51" i="79" s="1"/>
  <c r="L18" i="79" s="1"/>
  <c r="F50" i="79"/>
  <c r="F51" i="79" s="1"/>
  <c r="F18" i="79" s="1"/>
  <c r="N50" i="79"/>
  <c r="N51" i="79" s="1"/>
  <c r="N18" i="79" s="1"/>
  <c r="P50" i="79"/>
  <c r="P51" i="79" s="1"/>
  <c r="P18" i="79" s="1"/>
  <c r="Q18" i="79" s="1"/>
  <c r="D50" i="79"/>
  <c r="D51" i="79" s="1"/>
  <c r="D18" i="79" s="1"/>
  <c r="J50" i="80"/>
  <c r="J51" i="80" s="1"/>
  <c r="J18" i="80" s="1"/>
  <c r="B50" i="80"/>
  <c r="B51" i="80" s="1"/>
  <c r="B18" i="80" s="1"/>
  <c r="P50" i="80"/>
  <c r="P51" i="80" s="1"/>
  <c r="P18" i="80" s="1"/>
  <c r="Q18" i="80" s="1"/>
  <c r="H50" i="80"/>
  <c r="H51" i="80" s="1"/>
  <c r="H18" i="80" s="1"/>
  <c r="L50" i="80"/>
  <c r="L51" i="80" s="1"/>
  <c r="L18" i="80" s="1"/>
  <c r="D50" i="80"/>
  <c r="D51" i="80" s="1"/>
  <c r="D18" i="80" s="1"/>
  <c r="F50" i="80"/>
  <c r="F51" i="80" s="1"/>
  <c r="F18" i="80" s="1"/>
  <c r="B49" i="78"/>
  <c r="B41" i="78"/>
  <c r="L44" i="78" s="1"/>
  <c r="L30" i="78" s="1"/>
  <c r="C73" i="78"/>
  <c r="D44" i="78" l="1"/>
  <c r="D30" i="78" s="1"/>
  <c r="N44" i="78"/>
  <c r="N30" i="78" s="1"/>
  <c r="F44" i="78"/>
  <c r="F30" i="78" s="1"/>
  <c r="J44" i="78"/>
  <c r="J30" i="78" s="1"/>
  <c r="B44" i="78"/>
  <c r="B30" i="78" s="1"/>
  <c r="P44" i="78"/>
  <c r="P30" i="78" s="1"/>
  <c r="H44" i="78"/>
  <c r="H30" i="78" s="1"/>
  <c r="B42" i="78"/>
  <c r="J50" i="78" l="1"/>
  <c r="J51" i="78" s="1"/>
  <c r="J18" i="78" s="1"/>
  <c r="B50" i="78"/>
  <c r="B51" i="78" s="1"/>
  <c r="B18" i="78" s="1"/>
  <c r="P50" i="78"/>
  <c r="P51" i="78" s="1"/>
  <c r="Q18" i="78" s="1"/>
  <c r="H50" i="78"/>
  <c r="H51" i="78" s="1"/>
  <c r="H18" i="78" s="1"/>
  <c r="N50" i="78"/>
  <c r="N51" i="78" s="1"/>
  <c r="N18" i="78" s="1"/>
  <c r="F50" i="78"/>
  <c r="F51" i="78" s="1"/>
  <c r="F18" i="78" s="1"/>
  <c r="L50" i="78"/>
  <c r="L51" i="78" s="1"/>
  <c r="L18" i="78" s="1"/>
  <c r="D50" i="78"/>
  <c r="D51" i="78" s="1"/>
  <c r="D18" i="78" s="1"/>
  <c r="C74" i="30" l="1"/>
  <c r="F69" i="30"/>
  <c r="J69" i="30" s="1"/>
  <c r="B48" i="30" s="1"/>
  <c r="J43" i="30"/>
  <c r="F43" i="30"/>
  <c r="D43" i="30"/>
  <c r="B43" i="30"/>
  <c r="B40" i="30"/>
  <c r="O9" i="30"/>
  <c r="N43" i="30" s="1"/>
  <c r="M9" i="30"/>
  <c r="L43" i="30" s="1"/>
  <c r="I9" i="30"/>
  <c r="H43" i="30" s="1"/>
  <c r="E1" i="30"/>
  <c r="D73" i="30" s="1"/>
  <c r="B49" i="30" l="1"/>
  <c r="B41" i="30"/>
  <c r="F44" i="30" s="1"/>
  <c r="F30" i="30" s="1"/>
  <c r="C73" i="30"/>
  <c r="C74" i="29"/>
  <c r="F69" i="29"/>
  <c r="J69" i="29" s="1"/>
  <c r="B48" i="29" s="1"/>
  <c r="J43" i="29"/>
  <c r="F43" i="29"/>
  <c r="D43" i="29"/>
  <c r="B43" i="29"/>
  <c r="B40" i="29"/>
  <c r="O9" i="29"/>
  <c r="N43" i="29" s="1"/>
  <c r="M9" i="29"/>
  <c r="L43" i="29" s="1"/>
  <c r="I9" i="29"/>
  <c r="H43" i="29" s="1"/>
  <c r="E1" i="29"/>
  <c r="D73" i="29" s="1"/>
  <c r="B49" i="29" l="1"/>
  <c r="J44" i="30"/>
  <c r="J30" i="30" s="1"/>
  <c r="B44" i="30"/>
  <c r="B30" i="30" s="1"/>
  <c r="B42" i="30"/>
  <c r="H44" i="30"/>
  <c r="H30" i="30" s="1"/>
  <c r="N44" i="30"/>
  <c r="N30" i="30" s="1"/>
  <c r="L44" i="30"/>
  <c r="L30" i="30" s="1"/>
  <c r="D44" i="30"/>
  <c r="D30" i="30" s="1"/>
  <c r="B41" i="29"/>
  <c r="B44" i="29" s="1"/>
  <c r="B30" i="29" s="1"/>
  <c r="C73" i="29"/>
  <c r="L50" i="30" l="1"/>
  <c r="L51" i="30" s="1"/>
  <c r="L18" i="30" s="1"/>
  <c r="D50" i="30"/>
  <c r="D51" i="30" s="1"/>
  <c r="D18" i="30" s="1"/>
  <c r="H50" i="30"/>
  <c r="H51" i="30" s="1"/>
  <c r="H18" i="30" s="1"/>
  <c r="N50" i="30"/>
  <c r="N51" i="30" s="1"/>
  <c r="N18" i="30" s="1"/>
  <c r="O18" i="30" s="1"/>
  <c r="J50" i="30"/>
  <c r="J51" i="30" s="1"/>
  <c r="J18" i="30" s="1"/>
  <c r="B50" i="30"/>
  <c r="B51" i="30" s="1"/>
  <c r="B18" i="30" s="1"/>
  <c r="F50" i="30"/>
  <c r="F51" i="30" s="1"/>
  <c r="F18" i="30" s="1"/>
  <c r="J44" i="29"/>
  <c r="J30" i="29" s="1"/>
  <c r="F44" i="29"/>
  <c r="F30" i="29" s="1"/>
  <c r="N44" i="29"/>
  <c r="N30" i="29" s="1"/>
  <c r="H44" i="29"/>
  <c r="H30" i="29" s="1"/>
  <c r="L44" i="29"/>
  <c r="L30" i="29" s="1"/>
  <c r="B42" i="29"/>
  <c r="N50" i="29" s="1"/>
  <c r="N51" i="29" s="1"/>
  <c r="N18" i="29" s="1"/>
  <c r="O18" i="29" s="1"/>
  <c r="D44" i="29"/>
  <c r="D30" i="29" s="1"/>
  <c r="B50" i="29" l="1"/>
  <c r="B51" i="29" s="1"/>
  <c r="B18" i="29" s="1"/>
  <c r="H50" i="29"/>
  <c r="H51" i="29" s="1"/>
  <c r="H18" i="29" s="1"/>
  <c r="J50" i="29"/>
  <c r="J51" i="29" s="1"/>
  <c r="J18" i="29" s="1"/>
  <c r="D50" i="29"/>
  <c r="D51" i="29" s="1"/>
  <c r="D18" i="29" s="1"/>
  <c r="F50" i="29"/>
  <c r="F51" i="29" s="1"/>
  <c r="F18" i="29" s="1"/>
  <c r="L50" i="29"/>
  <c r="L51" i="29" s="1"/>
  <c r="L18" i="29" s="1"/>
  <c r="C74" i="26"/>
  <c r="F69" i="26"/>
  <c r="J69" i="26" s="1"/>
  <c r="B48" i="26" s="1"/>
  <c r="J43" i="26"/>
  <c r="F43" i="26"/>
  <c r="D43" i="26"/>
  <c r="B43" i="26"/>
  <c r="B40" i="26"/>
  <c r="O9" i="26"/>
  <c r="N43" i="26" s="1"/>
  <c r="M9" i="26"/>
  <c r="L43" i="26" s="1"/>
  <c r="I9" i="26"/>
  <c r="H43" i="26" s="1"/>
  <c r="E1" i="26"/>
  <c r="C73" i="26" s="1"/>
  <c r="B41" i="26" l="1"/>
  <c r="L44" i="26" s="1"/>
  <c r="L30" i="26" s="1"/>
  <c r="B49" i="26"/>
  <c r="D73" i="26"/>
  <c r="D44" i="26" l="1"/>
  <c r="D30" i="26" s="1"/>
  <c r="N44" i="26"/>
  <c r="N30" i="26" s="1"/>
  <c r="B42" i="26"/>
  <c r="B50" i="26" s="1"/>
  <c r="B51" i="26" s="1"/>
  <c r="B18" i="26" s="1"/>
  <c r="F44" i="26"/>
  <c r="F30" i="26" s="1"/>
  <c r="B44" i="26"/>
  <c r="B30" i="26" s="1"/>
  <c r="H44" i="26"/>
  <c r="H30" i="26" s="1"/>
  <c r="J44" i="26"/>
  <c r="J30" i="26" s="1"/>
  <c r="J50" i="26" l="1"/>
  <c r="J51" i="26" s="1"/>
  <c r="J18" i="26" s="1"/>
  <c r="D50" i="26"/>
  <c r="D51" i="26" s="1"/>
  <c r="D18" i="26" s="1"/>
  <c r="L50" i="26"/>
  <c r="L51" i="26" s="1"/>
  <c r="L18" i="26" s="1"/>
  <c r="N50" i="26"/>
  <c r="N51" i="26" s="1"/>
  <c r="N18" i="26" s="1"/>
  <c r="O18" i="26" s="1"/>
  <c r="F50" i="26"/>
  <c r="F51" i="26" s="1"/>
  <c r="F18" i="26" s="1"/>
  <c r="H50" i="26"/>
  <c r="H51" i="26" s="1"/>
  <c r="H18" i="26" s="1"/>
  <c r="C75" i="18" l="1"/>
  <c r="F70" i="18"/>
  <c r="J70" i="18" s="1"/>
  <c r="B49" i="18" s="1"/>
  <c r="J44" i="18"/>
  <c r="F44" i="18"/>
  <c r="D44" i="18"/>
  <c r="B44" i="18"/>
  <c r="B41" i="18"/>
  <c r="O9" i="18"/>
  <c r="N44" i="18" s="1"/>
  <c r="M9" i="18"/>
  <c r="L44" i="18" s="1"/>
  <c r="I9" i="18"/>
  <c r="H44" i="18" s="1"/>
  <c r="E1" i="18"/>
  <c r="D74" i="18" s="1"/>
  <c r="B50" i="18" l="1"/>
  <c r="B42" i="18"/>
  <c r="F45" i="18" s="1"/>
  <c r="F31" i="18" s="1"/>
  <c r="C74" i="18"/>
  <c r="D45" i="18" l="1"/>
  <c r="D31" i="18" s="1"/>
  <c r="J45" i="18"/>
  <c r="J31" i="18" s="1"/>
  <c r="B43" i="18"/>
  <c r="H45" i="18"/>
  <c r="H31" i="18" s="1"/>
  <c r="N45" i="18"/>
  <c r="N31" i="18" s="1"/>
  <c r="B45" i="18"/>
  <c r="B31" i="18" s="1"/>
  <c r="L45" i="18"/>
  <c r="L31" i="18" s="1"/>
  <c r="L51" i="18" l="1"/>
  <c r="L52" i="18" s="1"/>
  <c r="L18" i="18" s="1"/>
  <c r="J51" i="18"/>
  <c r="J52" i="18" s="1"/>
  <c r="J18" i="18" s="1"/>
  <c r="D51" i="18"/>
  <c r="D52" i="18" s="1"/>
  <c r="D18" i="18" s="1"/>
  <c r="N51" i="18"/>
  <c r="N52" i="18" s="1"/>
  <c r="N18" i="18" s="1"/>
  <c r="O18" i="18" s="1"/>
  <c r="B51" i="18"/>
  <c r="B52" i="18" s="1"/>
  <c r="B18" i="18" s="1"/>
  <c r="H51" i="18"/>
  <c r="H52" i="18" s="1"/>
  <c r="H18" i="18" s="1"/>
  <c r="F51" i="18"/>
  <c r="F52" i="18" s="1"/>
  <c r="F18" i="18" s="1"/>
  <c r="C75" i="13" l="1"/>
  <c r="F70" i="13"/>
  <c r="J70" i="13" s="1"/>
  <c r="B49" i="13" s="1"/>
  <c r="J44" i="13"/>
  <c r="F44" i="13"/>
  <c r="D44" i="13"/>
  <c r="B44" i="13"/>
  <c r="B41" i="13"/>
  <c r="O9" i="13"/>
  <c r="N44" i="13" s="1"/>
  <c r="M9" i="13"/>
  <c r="L44" i="13" s="1"/>
  <c r="I9" i="13"/>
  <c r="H44" i="13" s="1"/>
  <c r="E1" i="13"/>
  <c r="D74" i="13" s="1"/>
  <c r="C75" i="12"/>
  <c r="F70" i="12"/>
  <c r="J70" i="12" s="1"/>
  <c r="B49" i="12" s="1"/>
  <c r="J44" i="12"/>
  <c r="F44" i="12"/>
  <c r="D44" i="12"/>
  <c r="B44" i="12"/>
  <c r="B41" i="12"/>
  <c r="O9" i="12"/>
  <c r="N44" i="12" s="1"/>
  <c r="M9" i="12"/>
  <c r="L44" i="12" s="1"/>
  <c r="I9" i="12"/>
  <c r="H44" i="12" s="1"/>
  <c r="E1" i="12"/>
  <c r="D74" i="12" s="1"/>
  <c r="B42" i="12" l="1"/>
  <c r="H45" i="12" s="1"/>
  <c r="H31" i="12" s="1"/>
  <c r="B42" i="13"/>
  <c r="N45" i="13" s="1"/>
  <c r="N31" i="13" s="1"/>
  <c r="B50" i="13"/>
  <c r="C74" i="13"/>
  <c r="B50" i="12"/>
  <c r="C74" i="12"/>
  <c r="F45" i="12" l="1"/>
  <c r="F31" i="12" s="1"/>
  <c r="N45" i="12"/>
  <c r="N31" i="12" s="1"/>
  <c r="J45" i="12"/>
  <c r="J31" i="12" s="1"/>
  <c r="L45" i="12"/>
  <c r="L31" i="12" s="1"/>
  <c r="B45" i="12"/>
  <c r="B31" i="12" s="1"/>
  <c r="D45" i="12"/>
  <c r="D31" i="12" s="1"/>
  <c r="B43" i="12"/>
  <c r="J51" i="12" s="1"/>
  <c r="J52" i="12" s="1"/>
  <c r="J18" i="12" s="1"/>
  <c r="F45" i="13"/>
  <c r="F31" i="13" s="1"/>
  <c r="H45" i="13"/>
  <c r="H31" i="13" s="1"/>
  <c r="J45" i="13"/>
  <c r="J31" i="13" s="1"/>
  <c r="L45" i="13"/>
  <c r="L31" i="13" s="1"/>
  <c r="B43" i="13"/>
  <c r="D51" i="13" s="1"/>
  <c r="D52" i="13" s="1"/>
  <c r="D18" i="13" s="1"/>
  <c r="D45" i="13"/>
  <c r="D31" i="13" s="1"/>
  <c r="B45" i="13"/>
  <c r="B31" i="13" s="1"/>
  <c r="L51" i="12" l="1"/>
  <c r="L52" i="12" s="1"/>
  <c r="L18" i="12" s="1"/>
  <c r="N51" i="12"/>
  <c r="N52" i="12" s="1"/>
  <c r="N18" i="12" s="1"/>
  <c r="O18" i="12" s="1"/>
  <c r="H51" i="12"/>
  <c r="H52" i="12" s="1"/>
  <c r="H18" i="12" s="1"/>
  <c r="D51" i="12"/>
  <c r="D52" i="12" s="1"/>
  <c r="D18" i="12" s="1"/>
  <c r="B51" i="12"/>
  <c r="B52" i="12" s="1"/>
  <c r="B18" i="12" s="1"/>
  <c r="F51" i="12"/>
  <c r="F52" i="12" s="1"/>
  <c r="F18" i="12" s="1"/>
  <c r="B51" i="13"/>
  <c r="B52" i="13" s="1"/>
  <c r="B18" i="13" s="1"/>
  <c r="L51" i="13"/>
  <c r="L52" i="13" s="1"/>
  <c r="L18" i="13" s="1"/>
  <c r="H51" i="13"/>
  <c r="H52" i="13" s="1"/>
  <c r="H18" i="13" s="1"/>
  <c r="F51" i="13"/>
  <c r="F52" i="13" s="1"/>
  <c r="F18" i="13" s="1"/>
  <c r="J51" i="13"/>
  <c r="J52" i="13" s="1"/>
  <c r="J18" i="13" s="1"/>
  <c r="N51" i="13"/>
  <c r="N52" i="13" s="1"/>
  <c r="N18" i="13" s="1"/>
  <c r="O18" i="13" s="1"/>
  <c r="C75" i="8" l="1"/>
  <c r="F70" i="8"/>
  <c r="J70" i="8" s="1"/>
  <c r="B49" i="8" s="1"/>
  <c r="J44" i="8"/>
  <c r="F44" i="8"/>
  <c r="D44" i="8"/>
  <c r="B44" i="8"/>
  <c r="B41" i="8"/>
  <c r="O9" i="8"/>
  <c r="N44" i="8" s="1"/>
  <c r="M9" i="8"/>
  <c r="L44" i="8" s="1"/>
  <c r="I9" i="8"/>
  <c r="H44" i="8" s="1"/>
  <c r="E1" i="8"/>
  <c r="C74" i="8" s="1"/>
  <c r="B42" i="8" l="1"/>
  <c r="L45" i="8" s="1"/>
  <c r="L31" i="8" s="1"/>
  <c r="B50" i="8"/>
  <c r="D74" i="8"/>
  <c r="C75" i="7"/>
  <c r="F70" i="7"/>
  <c r="J70" i="7" s="1"/>
  <c r="B49" i="7" s="1"/>
  <c r="J44" i="7"/>
  <c r="F44" i="7"/>
  <c r="D44" i="7"/>
  <c r="B44" i="7"/>
  <c r="B41" i="7"/>
  <c r="O9" i="7"/>
  <c r="N44" i="7" s="1"/>
  <c r="M9" i="7"/>
  <c r="L44" i="7" s="1"/>
  <c r="I9" i="7"/>
  <c r="H44" i="7" s="1"/>
  <c r="E1" i="7"/>
  <c r="D74" i="7" s="1"/>
  <c r="C75" i="6"/>
  <c r="F70" i="6"/>
  <c r="J70" i="6" s="1"/>
  <c r="B49" i="6" s="1"/>
  <c r="J44" i="6"/>
  <c r="F44" i="6"/>
  <c r="D44" i="6"/>
  <c r="B44" i="6"/>
  <c r="B41" i="6"/>
  <c r="O9" i="6"/>
  <c r="N44" i="6" s="1"/>
  <c r="M9" i="6"/>
  <c r="L44" i="6" s="1"/>
  <c r="I9" i="6"/>
  <c r="H44" i="6" s="1"/>
  <c r="E1" i="6"/>
  <c r="D74" i="6" s="1"/>
  <c r="J45" i="8" l="1"/>
  <c r="J31" i="8" s="1"/>
  <c r="D45" i="8"/>
  <c r="D31" i="8" s="1"/>
  <c r="B43" i="8"/>
  <c r="J51" i="8" s="1"/>
  <c r="J52" i="8" s="1"/>
  <c r="J18" i="8" s="1"/>
  <c r="B42" i="7"/>
  <c r="L45" i="7" s="1"/>
  <c r="L31" i="7" s="1"/>
  <c r="F45" i="8"/>
  <c r="F31" i="8" s="1"/>
  <c r="H45" i="8"/>
  <c r="H31" i="8" s="1"/>
  <c r="B42" i="6"/>
  <c r="H45" i="6" s="1"/>
  <c r="H31" i="6" s="1"/>
  <c r="B50" i="7"/>
  <c r="N45" i="8"/>
  <c r="N31" i="8" s="1"/>
  <c r="B45" i="8"/>
  <c r="B31" i="8" s="1"/>
  <c r="C74" i="7"/>
  <c r="B50" i="6"/>
  <c r="C74" i="6"/>
  <c r="F45" i="7" l="1"/>
  <c r="F31" i="7" s="1"/>
  <c r="B45" i="7"/>
  <c r="B31" i="7" s="1"/>
  <c r="N51" i="8"/>
  <c r="N52" i="8" s="1"/>
  <c r="N18" i="8" s="1"/>
  <c r="O18" i="8" s="1"/>
  <c r="J45" i="6"/>
  <c r="J31" i="6" s="1"/>
  <c r="H45" i="7"/>
  <c r="H31" i="7" s="1"/>
  <c r="D51" i="8"/>
  <c r="D52" i="8" s="1"/>
  <c r="D18" i="8" s="1"/>
  <c r="J45" i="7"/>
  <c r="J31" i="7" s="1"/>
  <c r="B45" i="6"/>
  <c r="B31" i="6" s="1"/>
  <c r="D45" i="7"/>
  <c r="D31" i="7" s="1"/>
  <c r="L51" i="8"/>
  <c r="L52" i="8" s="1"/>
  <c r="L18" i="8" s="1"/>
  <c r="N45" i="7"/>
  <c r="N31" i="7" s="1"/>
  <c r="L45" i="6"/>
  <c r="L31" i="6" s="1"/>
  <c r="N45" i="6"/>
  <c r="N31" i="6" s="1"/>
  <c r="B43" i="7"/>
  <c r="L51" i="7" s="1"/>
  <c r="L52" i="7" s="1"/>
  <c r="L18" i="7" s="1"/>
  <c r="F51" i="8"/>
  <c r="F52" i="8" s="1"/>
  <c r="F18" i="8" s="1"/>
  <c r="B51" i="8"/>
  <c r="B52" i="8" s="1"/>
  <c r="B18" i="8" s="1"/>
  <c r="H51" i="8"/>
  <c r="H52" i="8" s="1"/>
  <c r="H18" i="8" s="1"/>
  <c r="D45" i="6"/>
  <c r="D31" i="6" s="1"/>
  <c r="B43" i="6"/>
  <c r="J51" i="6" s="1"/>
  <c r="J52" i="6" s="1"/>
  <c r="J18" i="6" s="1"/>
  <c r="F45" i="6"/>
  <c r="F31" i="6" s="1"/>
  <c r="B51" i="7" l="1"/>
  <c r="B52" i="7" s="1"/>
  <c r="B18" i="7" s="1"/>
  <c r="L51" i="6"/>
  <c r="L52" i="6" s="1"/>
  <c r="L18" i="6" s="1"/>
  <c r="F51" i="7"/>
  <c r="F52" i="7" s="1"/>
  <c r="F18" i="7" s="1"/>
  <c r="B51" i="6"/>
  <c r="B52" i="6" s="1"/>
  <c r="B18" i="6" s="1"/>
  <c r="H51" i="6"/>
  <c r="H52" i="6" s="1"/>
  <c r="H18" i="6" s="1"/>
  <c r="N51" i="6"/>
  <c r="N52" i="6" s="1"/>
  <c r="N18" i="6" s="1"/>
  <c r="O18" i="6" s="1"/>
  <c r="N51" i="7"/>
  <c r="N52" i="7" s="1"/>
  <c r="N18" i="7" s="1"/>
  <c r="O18" i="7" s="1"/>
  <c r="D51" i="7"/>
  <c r="D52" i="7" s="1"/>
  <c r="D18" i="7" s="1"/>
  <c r="J51" i="7"/>
  <c r="J52" i="7" s="1"/>
  <c r="J18" i="7" s="1"/>
  <c r="H51" i="7"/>
  <c r="H52" i="7" s="1"/>
  <c r="H18" i="7" s="1"/>
  <c r="D51" i="6"/>
  <c r="D52" i="6" s="1"/>
  <c r="D18" i="6" s="1"/>
  <c r="F51" i="6"/>
  <c r="F52" i="6" s="1"/>
  <c r="F18" i="6" s="1"/>
</calcChain>
</file>

<file path=xl/sharedStrings.xml><?xml version="1.0" encoding="utf-8"?>
<sst xmlns="http://schemas.openxmlformats.org/spreadsheetml/2006/main" count="4379" uniqueCount="487">
  <si>
    <t>Team</t>
  </si>
  <si>
    <t xml:space="preserve">FO </t>
    <phoneticPr fontId="8" type="noConversion"/>
  </si>
  <si>
    <t>SMM</t>
    <phoneticPr fontId="8" type="noConversion"/>
  </si>
  <si>
    <t>SFM</t>
    <phoneticPr fontId="9" type="noConversion"/>
  </si>
  <si>
    <t>GMC</t>
    <phoneticPr fontId="9" type="noConversion"/>
  </si>
  <si>
    <t>MC</t>
    <phoneticPr fontId="8" type="noConversion"/>
  </si>
  <si>
    <t>CPPC &amp; NSM</t>
    <phoneticPr fontId="4" type="noConversion"/>
  </si>
  <si>
    <t>DRO</t>
    <phoneticPr fontId="4" type="noConversion"/>
  </si>
  <si>
    <t>OPD</t>
    <phoneticPr fontId="9" type="noConversion"/>
  </si>
  <si>
    <t>MSC</t>
    <phoneticPr fontId="9" type="noConversion"/>
  </si>
  <si>
    <t>Gait Lab</t>
  </si>
  <si>
    <t>PT</t>
    <phoneticPr fontId="9" type="noConversion"/>
  </si>
  <si>
    <t>Ivan</t>
    <phoneticPr fontId="4" type="noConversion"/>
  </si>
  <si>
    <t>Katie</t>
    <phoneticPr fontId="4" type="noConversion"/>
  </si>
  <si>
    <t>Cherry</t>
    <phoneticPr fontId="4" type="noConversion"/>
  </si>
  <si>
    <t>Amanda</t>
    <phoneticPr fontId="4" type="noConversion"/>
  </si>
  <si>
    <t>Harry</t>
    <phoneticPr fontId="4" type="noConversion"/>
  </si>
  <si>
    <t>Katie AM FO +/- 0.25 PM, Vincent Lam every Fri 0.75 (preferably GMC/CPPC)</t>
    <phoneticPr fontId="4" type="noConversion"/>
  </si>
  <si>
    <t>Sam</t>
    <phoneticPr fontId="4" type="noConversion"/>
  </si>
  <si>
    <t>Ken Tung</t>
    <phoneticPr fontId="4" type="noConversion"/>
  </si>
  <si>
    <t>Kin</t>
    <phoneticPr fontId="4" type="noConversion"/>
  </si>
  <si>
    <t>Ivy</t>
    <phoneticPr fontId="4" type="noConversion"/>
  </si>
  <si>
    <t>Aster</t>
    <phoneticPr fontId="4" type="noConversion"/>
  </si>
  <si>
    <t>Yannis</t>
    <phoneticPr fontId="4" type="noConversion"/>
  </si>
  <si>
    <t>Tiffany</t>
    <phoneticPr fontId="4" type="noConversion"/>
  </si>
  <si>
    <t>Wilson</t>
    <phoneticPr fontId="4" type="noConversion"/>
  </si>
  <si>
    <t>Tim</t>
    <phoneticPr fontId="4" type="noConversion"/>
  </si>
  <si>
    <t>Lucas</t>
    <phoneticPr fontId="4" type="noConversion"/>
  </si>
  <si>
    <t>Hang</t>
    <phoneticPr fontId="4" type="noConversion"/>
  </si>
  <si>
    <t>Eric Mon 0.5 AM
Aggie Wed CRP_8 beds</t>
    <phoneticPr fontId="4" type="noConversion"/>
  </si>
  <si>
    <t>Manfield (Nil RBIP duty since march 2025)</t>
    <phoneticPr fontId="4" type="noConversion"/>
  </si>
  <si>
    <t>Julie</t>
    <phoneticPr fontId="4" type="noConversion"/>
  </si>
  <si>
    <t>Derek</t>
    <phoneticPr fontId="4" type="noConversion"/>
  </si>
  <si>
    <t>Oscar</t>
    <phoneticPr fontId="4" type="noConversion"/>
  </si>
  <si>
    <t>Stella</t>
    <phoneticPr fontId="4" type="noConversion"/>
  </si>
  <si>
    <t>Dewey</t>
    <phoneticPr fontId="4" type="noConversion"/>
  </si>
  <si>
    <t>PM</t>
    <phoneticPr fontId="4" type="noConversion"/>
  </si>
  <si>
    <t>Trinity</t>
    <phoneticPr fontId="4" type="noConversion"/>
  </si>
  <si>
    <t>Jeff</t>
    <phoneticPr fontId="4" type="noConversion"/>
  </si>
  <si>
    <t>AM</t>
    <phoneticPr fontId="4" type="noConversion"/>
  </si>
  <si>
    <t>浩然 update robotics</t>
    <phoneticPr fontId="4" type="noConversion"/>
  </si>
  <si>
    <t>Alvin Mon-Wed in April</t>
    <phoneticPr fontId="4" type="noConversion"/>
  </si>
  <si>
    <t>Eric Tse</t>
    <phoneticPr fontId="4" type="noConversion"/>
  </si>
  <si>
    <t>Alex</t>
    <phoneticPr fontId="4" type="noConversion"/>
  </si>
  <si>
    <t>Man</t>
    <phoneticPr fontId="4" type="noConversion"/>
  </si>
  <si>
    <t xml:space="preserve">       </t>
    <phoneticPr fontId="4" type="noConversion"/>
  </si>
  <si>
    <t>Base 0 leave</t>
    <phoneticPr fontId="4" type="noConversion"/>
  </si>
  <si>
    <t>Becky</t>
    <phoneticPr fontId="4" type="noConversion"/>
  </si>
  <si>
    <t>Wallace</t>
    <phoneticPr fontId="4" type="noConversion"/>
  </si>
  <si>
    <t>Eric  Li</t>
    <phoneticPr fontId="4" type="noConversion"/>
  </si>
  <si>
    <t>Connie</t>
    <phoneticPr fontId="4" type="noConversion"/>
  </si>
  <si>
    <t>Alphonse</t>
    <phoneticPr fontId="4" type="noConversion"/>
  </si>
  <si>
    <t>Special program</t>
    <phoneticPr fontId="4" type="noConversion"/>
  </si>
  <si>
    <t>CRP</t>
    <phoneticPr fontId="4" type="noConversion"/>
  </si>
  <si>
    <t>DRM</t>
    <phoneticPr fontId="8" type="noConversion"/>
  </si>
  <si>
    <t>光劭</t>
    <phoneticPr fontId="4" type="noConversion"/>
  </si>
  <si>
    <t>Rainy</t>
    <phoneticPr fontId="4" type="noConversion"/>
  </si>
  <si>
    <t>Billy</t>
    <phoneticPr fontId="4" type="noConversion"/>
  </si>
  <si>
    <t xml:space="preserve">Supporting </t>
    <phoneticPr fontId="8" type="noConversion"/>
  </si>
  <si>
    <t>Whole day</t>
    <phoneticPr fontId="4" type="noConversion"/>
  </si>
  <si>
    <t>明</t>
    <phoneticPr fontId="4" type="noConversion"/>
  </si>
  <si>
    <t>桂花</t>
  </si>
  <si>
    <t xml:space="preserve">婉儀 </t>
    <phoneticPr fontId="4" type="noConversion"/>
  </si>
  <si>
    <t>少華</t>
    <phoneticPr fontId="4" type="noConversion"/>
  </si>
  <si>
    <t xml:space="preserve">張麗 </t>
  </si>
  <si>
    <t>秋</t>
    <phoneticPr fontId="4" type="noConversion"/>
  </si>
  <si>
    <t>浩然</t>
    <phoneticPr fontId="4" type="noConversion"/>
  </si>
  <si>
    <t>友好</t>
    <phoneticPr fontId="4" type="noConversion"/>
  </si>
  <si>
    <t>聞俊</t>
    <phoneticPr fontId="4" type="noConversion"/>
  </si>
  <si>
    <t>巧兒</t>
    <phoneticPr fontId="4" type="noConversion"/>
  </si>
  <si>
    <t>AM, 1500-1630</t>
    <phoneticPr fontId="4" type="noConversion"/>
  </si>
  <si>
    <t>麗雅</t>
    <phoneticPr fontId="4" type="noConversion"/>
  </si>
  <si>
    <t>1330-1500</t>
    <phoneticPr fontId="4" type="noConversion"/>
  </si>
  <si>
    <t xml:space="preserve">淑貞 </t>
    <phoneticPr fontId="4" type="noConversion"/>
  </si>
  <si>
    <t>1030-1200</t>
    <phoneticPr fontId="4" type="noConversion"/>
  </si>
  <si>
    <t>桂花</t>
    <phoneticPr fontId="4" type="noConversion"/>
  </si>
  <si>
    <t>Eunice</t>
    <phoneticPr fontId="4" type="noConversion"/>
  </si>
  <si>
    <t>荿萍</t>
    <phoneticPr fontId="4" type="noConversion"/>
  </si>
  <si>
    <t>1500-1630</t>
    <phoneticPr fontId="4" type="noConversion"/>
  </si>
  <si>
    <t>寶華</t>
    <phoneticPr fontId="4" type="noConversion"/>
  </si>
  <si>
    <t>Po Shan</t>
    <phoneticPr fontId="4" type="noConversion"/>
  </si>
  <si>
    <t>.</t>
    <phoneticPr fontId="4" type="noConversion"/>
  </si>
  <si>
    <t>張麗</t>
    <phoneticPr fontId="4" type="noConversion"/>
  </si>
  <si>
    <t>Pu Na</t>
    <phoneticPr fontId="4" type="noConversion"/>
  </si>
  <si>
    <t>秀芬</t>
    <phoneticPr fontId="4" type="noConversion"/>
  </si>
  <si>
    <t>AM Robotic</t>
    <phoneticPr fontId="4" type="noConversion"/>
  </si>
  <si>
    <t>PM Robotic</t>
    <phoneticPr fontId="4" type="noConversion"/>
  </si>
  <si>
    <t>0900-1030</t>
    <phoneticPr fontId="4" type="noConversion"/>
  </si>
  <si>
    <r>
      <rPr>
        <sz val="36"/>
        <color rgb="FF000000"/>
        <rFont val="細明體"/>
        <family val="3"/>
        <charset val="136"/>
      </rPr>
      <t>子健</t>
    </r>
    <phoneticPr fontId="4" type="noConversion"/>
  </si>
  <si>
    <r>
      <rPr>
        <sz val="36"/>
        <rFont val="Malgun Gothic Semilight"/>
        <family val="2"/>
        <charset val="136"/>
      </rPr>
      <t>銘淇</t>
    </r>
    <phoneticPr fontId="4" type="noConversion"/>
  </si>
  <si>
    <t>SHS:  / 
PCA: /</t>
    <phoneticPr fontId="4" type="noConversion"/>
  </si>
  <si>
    <t>```````````</t>
    <phoneticPr fontId="4" type="noConversion"/>
  </si>
  <si>
    <t>```````</t>
    <phoneticPr fontId="4" type="noConversion"/>
  </si>
  <si>
    <r>
      <t xml:space="preserve">Double check in morning                          </t>
    </r>
    <r>
      <rPr>
        <b/>
        <sz val="60"/>
        <color rgb="FFFF0000"/>
        <rFont val="Times New Roman"/>
        <family val="1"/>
      </rPr>
      <t>SHS 4 CASES   !!!!!!!!!!!!!!!!!!!!</t>
    </r>
    <phoneticPr fontId="4" type="noConversion"/>
  </si>
  <si>
    <r>
      <rPr>
        <sz val="34"/>
        <rFont val="新細明體"/>
        <family val="2"/>
        <charset val="136"/>
      </rPr>
      <t>秋</t>
    </r>
    <phoneticPr fontId="4" type="noConversion"/>
  </si>
  <si>
    <t>x</t>
    <phoneticPr fontId="4" type="noConversion"/>
  </si>
  <si>
    <r>
      <rPr>
        <sz val="34"/>
        <color theme="1"/>
        <rFont val="新細明體"/>
        <family val="2"/>
        <charset val="136"/>
      </rPr>
      <t>高玲</t>
    </r>
    <phoneticPr fontId="8" type="noConversion"/>
  </si>
  <si>
    <r>
      <rPr>
        <sz val="34"/>
        <color theme="1"/>
        <rFont val="新細明體"/>
        <family val="2"/>
        <charset val="136"/>
      </rPr>
      <t>張麗</t>
    </r>
    <phoneticPr fontId="4" type="noConversion"/>
  </si>
  <si>
    <r>
      <rPr>
        <sz val="28"/>
        <color theme="1"/>
        <rFont val="細明體"/>
        <family val="3"/>
        <charset val="136"/>
      </rPr>
      <t>張麗</t>
    </r>
    <phoneticPr fontId="4" type="noConversion"/>
  </si>
  <si>
    <t>VL</t>
    <phoneticPr fontId="4" type="noConversion"/>
  </si>
  <si>
    <t>Harry Yip</t>
    <phoneticPr fontId="4" type="noConversion"/>
  </si>
  <si>
    <t>Sally</t>
    <phoneticPr fontId="4" type="noConversion"/>
  </si>
  <si>
    <t>Mon, Thu, Fri 1030-1200, Tue, Wed 0900-1030</t>
    <phoneticPr fontId="4" type="noConversion"/>
  </si>
  <si>
    <t>Thursday (0.25) depends</t>
    <phoneticPr fontId="4" type="noConversion"/>
  </si>
  <si>
    <t>NSM</t>
    <phoneticPr fontId="8" type="noConversion"/>
  </si>
  <si>
    <t>Robotic</t>
    <phoneticPr fontId="8" type="noConversion"/>
  </si>
  <si>
    <t>3,5  1445-1545</t>
    <phoneticPr fontId="8" type="noConversion"/>
  </si>
  <si>
    <t>Suspended until further notice</t>
    <phoneticPr fontId="4" type="noConversion"/>
  </si>
  <si>
    <t>Team:</t>
    <phoneticPr fontId="4" type="noConversion"/>
  </si>
  <si>
    <t>Wed:  Aggie (+ 8 beds)</t>
    <phoneticPr fontId="4" type="noConversion"/>
  </si>
  <si>
    <t>Thu / Fri:  Amanda</t>
    <phoneticPr fontId="4" type="noConversion"/>
  </si>
  <si>
    <t>SFM</t>
    <phoneticPr fontId="8" type="noConversion"/>
  </si>
  <si>
    <t>daily 1500-1630</t>
    <phoneticPr fontId="8" type="noConversion"/>
  </si>
  <si>
    <t>X</t>
    <phoneticPr fontId="4" type="noConversion"/>
  </si>
  <si>
    <t>Supporting</t>
    <phoneticPr fontId="4" type="noConversion"/>
  </si>
  <si>
    <t>Mon/Thur/Fri 1030-1200</t>
    <phoneticPr fontId="4" type="noConversion"/>
  </si>
  <si>
    <t>Tues/Wed 0900-1030</t>
    <phoneticPr fontId="4" type="noConversion"/>
  </si>
  <si>
    <t xml:space="preserve"> </t>
    <phoneticPr fontId="4" type="noConversion"/>
  </si>
  <si>
    <t>daily 1030-1200</t>
    <phoneticPr fontId="8" type="noConversion"/>
  </si>
  <si>
    <t>adult</t>
    <phoneticPr fontId="8" type="noConversion"/>
  </si>
  <si>
    <t>robotic</t>
    <phoneticPr fontId="8" type="noConversion"/>
  </si>
  <si>
    <t>9-1030 1,2,4</t>
    <phoneticPr fontId="8" type="noConversion"/>
  </si>
  <si>
    <t>PT 0.25 workload deducted</t>
    <phoneticPr fontId="4" type="noConversion"/>
  </si>
  <si>
    <t>paedi</t>
    <phoneticPr fontId="8" type="noConversion"/>
  </si>
  <si>
    <t>1330-1500  2,3,5</t>
    <phoneticPr fontId="8" type="noConversion"/>
  </si>
  <si>
    <t>Workman</t>
  </si>
  <si>
    <r>
      <rPr>
        <sz val="36"/>
        <rFont val="細明體"/>
        <family val="3"/>
        <charset val="136"/>
      </rPr>
      <t>遠香</t>
    </r>
    <phoneticPr fontId="8" type="noConversion"/>
  </si>
  <si>
    <r>
      <rPr>
        <sz val="36"/>
        <rFont val="細明體"/>
        <family val="3"/>
        <charset val="136"/>
      </rPr>
      <t>金姐</t>
    </r>
    <phoneticPr fontId="8" type="noConversion"/>
  </si>
  <si>
    <r>
      <rPr>
        <sz val="36"/>
        <rFont val="細明體"/>
        <family val="3"/>
        <charset val="136"/>
      </rPr>
      <t>潔萍</t>
    </r>
    <phoneticPr fontId="8" type="noConversion"/>
  </si>
  <si>
    <t>0830-1000 Robotic</t>
    <phoneticPr fontId="4" type="noConversion"/>
  </si>
  <si>
    <t xml:space="preserve">1,4 </t>
    <phoneticPr fontId="4" type="noConversion"/>
  </si>
  <si>
    <t>pending 2,5</t>
    <phoneticPr fontId="4" type="noConversion"/>
  </si>
  <si>
    <r>
      <rPr>
        <sz val="36"/>
        <rFont val="細明體"/>
        <family val="3"/>
        <charset val="136"/>
      </rPr>
      <t>巧兒</t>
    </r>
    <r>
      <rPr>
        <sz val="36"/>
        <rFont val="Times New Roman"/>
        <family val="1"/>
      </rPr>
      <t xml:space="preserve"> </t>
    </r>
    <phoneticPr fontId="8" type="noConversion"/>
  </si>
  <si>
    <t>1330-1500 Andago</t>
    <phoneticPr fontId="4" type="noConversion"/>
  </si>
  <si>
    <t>Andago</t>
    <phoneticPr fontId="4" type="noConversion"/>
  </si>
  <si>
    <t>Total no. of beds</t>
  </si>
  <si>
    <t>Total no. of PT on duty</t>
  </si>
  <si>
    <t>No. of bed per PT</t>
  </si>
  <si>
    <t>No. of PT of individual team</t>
  </si>
  <si>
    <t>No. of beds for relieving</t>
    <phoneticPr fontId="9" type="noConversion"/>
  </si>
  <si>
    <t>No. of beds per team</t>
  </si>
  <si>
    <t>CEU -8 beds</t>
    <phoneticPr fontId="4" type="noConversion"/>
  </si>
  <si>
    <t>Responsible wards of each team</t>
    <phoneticPr fontId="9" type="noConversion"/>
  </si>
  <si>
    <t>R11C, R11B</t>
    <phoneticPr fontId="9" type="noConversion"/>
  </si>
  <si>
    <t>R10A,  2/3 R8A</t>
    <phoneticPr fontId="9" type="noConversion"/>
  </si>
  <si>
    <t>R10C, 2/3 R9C</t>
    <phoneticPr fontId="8" type="noConversion"/>
  </si>
  <si>
    <t>R10B, 2/3 R8C</t>
    <phoneticPr fontId="8" type="noConversion"/>
  </si>
  <si>
    <t>R7C, 1/3 R8A, 1/3 R8C</t>
    <phoneticPr fontId="8" type="noConversion"/>
  </si>
  <si>
    <t>72 (68)</t>
    <phoneticPr fontId="4" type="noConversion"/>
  </si>
  <si>
    <t>R7B, R8B, R9A (R7B -5 until further notice)</t>
    <phoneticPr fontId="4" type="noConversion"/>
  </si>
  <si>
    <t>113 (110)</t>
    <phoneticPr fontId="4" type="noConversion"/>
  </si>
  <si>
    <t>R11A, 1/3 R9C</t>
    <phoneticPr fontId="4" type="noConversion"/>
  </si>
  <si>
    <t>8B, 8C, 9C</t>
    <phoneticPr fontId="4" type="noConversion"/>
  </si>
  <si>
    <t>Total no. of SS on duty</t>
    <phoneticPr fontId="9" type="noConversion"/>
  </si>
  <si>
    <t>Total no.of pt per SS</t>
    <phoneticPr fontId="9" type="noConversion"/>
  </si>
  <si>
    <t>Total no. of pt per team</t>
    <phoneticPr fontId="9" type="noConversion"/>
  </si>
  <si>
    <t>Average SS per team</t>
    <phoneticPr fontId="9" type="noConversion"/>
  </si>
  <si>
    <t>Remarks:</t>
  </si>
  <si>
    <r>
      <t xml:space="preserve">1. Total no. of SS on duty = </t>
    </r>
    <r>
      <rPr>
        <sz val="28"/>
        <color rgb="FFFF0000"/>
        <rFont val="Times New Roman"/>
        <family val="1"/>
      </rPr>
      <t xml:space="preserve">13 </t>
    </r>
    <r>
      <rPr>
        <sz val="28"/>
        <color rgb="FF000000"/>
        <rFont val="Times New Roman"/>
        <family val="1"/>
      </rPr>
      <t xml:space="preserve"> on Mon-Fri (Effective from 12/11/20), at least 1 SS per team over the whole day </t>
    </r>
    <phoneticPr fontId="4" type="noConversion"/>
  </si>
  <si>
    <t>2. Supporting staff for robotic : Mon, Tue &amp; Thur deduct 0.5 in total (0.25 for SOM: 1030-1230; 0.25 for SFM: 1500-1630); Wed &amp; Fri deduct 0.75 in total (0.25 for SOM: 1030-1230; 0.5 for SFM: 1330-1630)</t>
    <phoneticPr fontId="4" type="noConversion"/>
  </si>
  <si>
    <r>
      <t>3. Starting from 11 Oct 2016, PCA will relieve RBIP pm if no PCA of OPD on leave in either am/pm session.</t>
    </r>
    <r>
      <rPr>
        <b/>
        <sz val="28"/>
        <color rgb="FFFF0000"/>
        <rFont val="Times New Roman"/>
        <family val="1"/>
      </rPr>
      <t xml:space="preserve"> (suspend until further notice)</t>
    </r>
    <phoneticPr fontId="4" type="noConversion"/>
  </si>
  <si>
    <t>4. Starting from 8 Oct 2019, DRM (DRO) team deducts therapist manpower subject to weekly operational need; annd deducts SS manpower for 1330-1500 daily</t>
    <phoneticPr fontId="4" type="noConversion"/>
  </si>
  <si>
    <t xml:space="preserve">5. Starting from 14 Oct 2019 DRM (CRP) starts, deduce 0.4 therapist manpower from NSM team (Tue) and GMC team (Mon &amp; Fri), deduce 0.25 therapist manpower from NSM team (Thurs). </t>
    <phoneticPr fontId="8" type="noConversion"/>
  </si>
  <si>
    <t>6. Starting from 14 Oct 2019, DRM (CRP) starts, 0.25 SS manpower would be deducted for timeslot 0900-1030 (tue &amp; wed) or 1030-1200 (Mon, Thur, Fri)</t>
    <phoneticPr fontId="8" type="noConversion"/>
  </si>
  <si>
    <t>7. Starting from 16 Oct 2023, Eric TSE will stay in RBIP (AM) every Monday</t>
  </si>
  <si>
    <t>8. Starting from 3 April 2024, Aggie KWAN will stay in RBIP (AM) every Wednesday for CRP &amp; 5 medical beds.</t>
    <phoneticPr fontId="4" type="noConversion"/>
  </si>
  <si>
    <t xml:space="preserve">9. Starting from Dec 2024, Katie FAN takes 0.5 RBIP duty. </t>
    <phoneticPr fontId="4" type="noConversion"/>
  </si>
  <si>
    <t>10. Starting from Jan 2025, Vincent LAM will stay RBIP every Friday</t>
    <phoneticPr fontId="4" type="noConversion"/>
  </si>
  <si>
    <t>11. Starting from Jan 2025, Manfield CHAN will stay RBIP (AM) every Thursday for neuro service</t>
    <phoneticPr fontId="4" type="noConversion"/>
  </si>
  <si>
    <t>Last Updated by time:</t>
  </si>
  <si>
    <t>SS formula</t>
    <phoneticPr fontId="4" type="noConversion"/>
  </si>
  <si>
    <t>Robotics / Andago</t>
    <phoneticPr fontId="4" type="noConversion"/>
  </si>
  <si>
    <t>J duty</t>
    <phoneticPr fontId="4" type="noConversion"/>
  </si>
  <si>
    <t>SS VL/ SL</t>
    <phoneticPr fontId="4" type="noConversion"/>
  </si>
  <si>
    <t>I team</t>
    <phoneticPr fontId="4" type="noConversion"/>
  </si>
  <si>
    <t>OPD buffer</t>
    <phoneticPr fontId="4" type="noConversion"/>
  </si>
  <si>
    <t>SS deducted</t>
    <phoneticPr fontId="4" type="noConversion"/>
  </si>
  <si>
    <t>GDH buffer</t>
    <phoneticPr fontId="4" type="noConversion"/>
  </si>
  <si>
    <t>0</t>
  </si>
  <si>
    <t>DO NOT DELETE</t>
    <phoneticPr fontId="4" type="noConversion"/>
  </si>
  <si>
    <t>No duty</t>
    <phoneticPr fontId="4" type="noConversion"/>
  </si>
  <si>
    <t>normal robotic</t>
    <phoneticPr fontId="4" type="noConversion"/>
  </si>
  <si>
    <t>robotic w/ SMM</t>
    <phoneticPr fontId="4" type="noConversion"/>
  </si>
  <si>
    <t>since May</t>
    <phoneticPr fontId="4" type="noConversion"/>
  </si>
  <si>
    <t xml:space="preserve">every 1 4 </t>
    <phoneticPr fontId="4" type="noConversion"/>
  </si>
  <si>
    <t>minus 0.25 PCA for Sam Wan OPD case</t>
    <phoneticPr fontId="4" type="noConversion"/>
  </si>
  <si>
    <t>Sam Wan 0.25 at FO team</t>
    <phoneticPr fontId="4" type="noConversion"/>
  </si>
  <si>
    <t>Wednesday minus 0.25 for robotic pca (no robotic 0900-1030)</t>
    <phoneticPr fontId="4" type="noConversion"/>
  </si>
  <si>
    <t>0.5 AM</t>
    <phoneticPr fontId="4" type="noConversion"/>
  </si>
  <si>
    <t xml:space="preserve">君 </t>
    <phoneticPr fontId="4" type="noConversion"/>
  </si>
  <si>
    <t xml:space="preserve">明 </t>
    <phoneticPr fontId="4" type="noConversion"/>
  </si>
  <si>
    <t>0900-1030, PM</t>
    <phoneticPr fontId="4" type="noConversion"/>
  </si>
  <si>
    <t>0.5AM</t>
    <phoneticPr fontId="4" type="noConversion"/>
  </si>
  <si>
    <t>光劭</t>
  </si>
  <si>
    <t>0900-1030, 1330-1500</t>
    <phoneticPr fontId="4" type="noConversion"/>
  </si>
  <si>
    <t>updated by Tim on 31/7/2025</t>
    <phoneticPr fontId="8" type="noConversion"/>
  </si>
  <si>
    <t>Jackie</t>
    <phoneticPr fontId="4" type="noConversion"/>
  </si>
  <si>
    <t>Mon / Tue:: Becky Law</t>
    <phoneticPr fontId="4" type="noConversion"/>
  </si>
  <si>
    <t>Bonnie</t>
    <phoneticPr fontId="4" type="noConversion"/>
  </si>
  <si>
    <t xml:space="preserve">高玲 </t>
    <phoneticPr fontId="4" type="noConversion"/>
  </si>
  <si>
    <t xml:space="preserve">友好 </t>
    <phoneticPr fontId="4" type="noConversion"/>
  </si>
  <si>
    <t>0900-1630</t>
    <phoneticPr fontId="4" type="noConversion"/>
  </si>
  <si>
    <t xml:space="preserve">友好 </t>
  </si>
  <si>
    <t>AM, 1330-1500</t>
    <phoneticPr fontId="4" type="noConversion"/>
  </si>
  <si>
    <t>麗雅</t>
  </si>
  <si>
    <t>浩然</t>
  </si>
  <si>
    <t xml:space="preserve">婉儀  </t>
    <phoneticPr fontId="4" type="noConversion"/>
  </si>
  <si>
    <t>宛諭 VL</t>
    <phoneticPr fontId="4" type="noConversion"/>
  </si>
  <si>
    <t>1500-1630 Robotic</t>
    <phoneticPr fontId="4" type="noConversion"/>
  </si>
  <si>
    <t xml:space="preserve"> Katie 0.5AM</t>
    <phoneticPr fontId="4" type="noConversion"/>
  </si>
  <si>
    <t xml:space="preserve">君   </t>
    <phoneticPr fontId="4" type="noConversion"/>
  </si>
  <si>
    <t>浩然 AM VL</t>
    <phoneticPr fontId="4" type="noConversion"/>
  </si>
  <si>
    <t xml:space="preserve">宛諭 </t>
    <phoneticPr fontId="4" type="noConversion"/>
  </si>
  <si>
    <t>Whole Day</t>
    <phoneticPr fontId="4" type="noConversion"/>
  </si>
  <si>
    <r>
      <t xml:space="preserve">12-2pm </t>
    </r>
    <r>
      <rPr>
        <sz val="48"/>
        <color rgb="FF000000"/>
        <rFont val="細明體"/>
        <family val="3"/>
        <charset val="136"/>
      </rPr>
      <t>中華狀元擂台戰</t>
    </r>
    <phoneticPr fontId="4" type="noConversion"/>
  </si>
  <si>
    <t>0830-1300 CMC BLS</t>
    <phoneticPr fontId="4" type="noConversion"/>
  </si>
  <si>
    <t>Amanda</t>
  </si>
  <si>
    <t>君   VL</t>
  </si>
  <si>
    <t xml:space="preserve">浩然 </t>
  </si>
  <si>
    <t xml:space="preserve">宛諭 </t>
  </si>
  <si>
    <t>1330-1500</t>
  </si>
  <si>
    <t>PM Robotic</t>
  </si>
  <si>
    <t xml:space="preserve"> Katie 9:30am CMC meeting</t>
    <phoneticPr fontId="4" type="noConversion"/>
  </si>
  <si>
    <t>高玲 3:45 PM FU</t>
    <phoneticPr fontId="4" type="noConversion"/>
  </si>
  <si>
    <t>AM, 1330-1545</t>
    <phoneticPr fontId="4" type="noConversion"/>
  </si>
  <si>
    <t>1030-1200, PM</t>
    <phoneticPr fontId="4" type="noConversion"/>
  </si>
  <si>
    <t>少華 1630 TIL</t>
    <phoneticPr fontId="4" type="noConversion"/>
  </si>
  <si>
    <t>秋 9am acc FU</t>
    <phoneticPr fontId="4" type="noConversion"/>
  </si>
  <si>
    <t>14/8/25 0.25cppc 21/8/25 0.25 gmc 28/8/25 0.25 cppc</t>
    <phoneticPr fontId="4" type="noConversion"/>
  </si>
  <si>
    <t>0.5am</t>
    <phoneticPr fontId="4" type="noConversion"/>
  </si>
  <si>
    <t>0.25pm</t>
    <phoneticPr fontId="4" type="noConversion"/>
  </si>
  <si>
    <t>Vincent LAM VL Katie 0.75</t>
    <phoneticPr fontId="4" type="noConversion"/>
  </si>
  <si>
    <t>高玲 4PM TST FU</t>
    <phoneticPr fontId="4" type="noConversion"/>
  </si>
  <si>
    <t>光劭 PM TIL</t>
    <phoneticPr fontId="4" type="noConversion"/>
  </si>
  <si>
    <t>高玲 (0.65)</t>
    <phoneticPr fontId="4" type="noConversion"/>
  </si>
  <si>
    <t>AM, 1330-1430</t>
    <phoneticPr fontId="4" type="noConversion"/>
  </si>
  <si>
    <t xml:space="preserve">少華 </t>
    <phoneticPr fontId="4" type="noConversion"/>
  </si>
  <si>
    <t xml:space="preserve">秋 </t>
    <phoneticPr fontId="4" type="noConversion"/>
  </si>
  <si>
    <t>TIL</t>
    <phoneticPr fontId="4" type="noConversion"/>
  </si>
  <si>
    <t>PM ICF seminar</t>
    <phoneticPr fontId="4" type="noConversion"/>
  </si>
  <si>
    <t>君   VL</t>
    <phoneticPr fontId="4" type="noConversion"/>
  </si>
  <si>
    <t xml:space="preserve">Tiffany </t>
    <phoneticPr fontId="4" type="noConversion"/>
  </si>
  <si>
    <t>SL</t>
    <phoneticPr fontId="4" type="noConversion"/>
  </si>
  <si>
    <t>Sally Yip</t>
    <phoneticPr fontId="4" type="noConversion"/>
  </si>
  <si>
    <t>(CEU-5)</t>
    <phoneticPr fontId="4" type="noConversion"/>
  </si>
  <si>
    <t xml:space="preserve">Dewey </t>
    <phoneticPr fontId="4" type="noConversion"/>
  </si>
  <si>
    <t>Katie VL</t>
    <phoneticPr fontId="4" type="noConversion"/>
  </si>
  <si>
    <t>浩然 0900-1030 no robotic</t>
    <phoneticPr fontId="4" type="noConversion"/>
  </si>
  <si>
    <t>1030-1200, 1500-1630</t>
    <phoneticPr fontId="4" type="noConversion"/>
  </si>
  <si>
    <t xml:space="preserve">浩然 </t>
    <phoneticPr fontId="4" type="noConversion"/>
  </si>
  <si>
    <t>4pm NTWC Physiotherapy Research and Training Committee meeting</t>
    <phoneticPr fontId="4" type="noConversion"/>
  </si>
  <si>
    <t>SFM</t>
    <phoneticPr fontId="4" type="noConversion"/>
  </si>
  <si>
    <t>10 cases</t>
    <phoneticPr fontId="4" type="noConversion"/>
  </si>
  <si>
    <t>CPPC</t>
    <phoneticPr fontId="4" type="noConversion"/>
  </si>
  <si>
    <t>14cases</t>
    <phoneticPr fontId="4" type="noConversion"/>
  </si>
  <si>
    <t>MC</t>
    <phoneticPr fontId="4" type="noConversion"/>
  </si>
  <si>
    <t>4 case</t>
    <phoneticPr fontId="4" type="noConversion"/>
  </si>
  <si>
    <t xml:space="preserve">DRO </t>
    <phoneticPr fontId="4" type="noConversion"/>
  </si>
  <si>
    <t>7 cases</t>
    <phoneticPr fontId="4" type="noConversion"/>
  </si>
  <si>
    <t>SMM</t>
    <phoneticPr fontId="4" type="noConversion"/>
  </si>
  <si>
    <t>5 cases</t>
    <phoneticPr fontId="4" type="noConversion"/>
  </si>
  <si>
    <t>0900-1030, 1500-1630</t>
    <phoneticPr fontId="4" type="noConversion"/>
  </si>
  <si>
    <t xml:space="preserve">麗雅 </t>
    <phoneticPr fontId="4" type="noConversion"/>
  </si>
  <si>
    <t xml:space="preserve">光劭 </t>
    <phoneticPr fontId="4" type="noConversion"/>
  </si>
  <si>
    <t>14/8/25 0.25cppc 21/8/25 0.4 gmc 28/8/25 0.25 cppc</t>
    <phoneticPr fontId="4" type="noConversion"/>
  </si>
  <si>
    <t xml:space="preserve">Dewey </t>
  </si>
  <si>
    <t xml:space="preserve">淑貞 </t>
  </si>
  <si>
    <t>Amanada</t>
    <phoneticPr fontId="4" type="noConversion"/>
  </si>
  <si>
    <t>Eric</t>
    <phoneticPr fontId="4" type="noConversion"/>
  </si>
  <si>
    <t>0.5 am</t>
    <phoneticPr fontId="4" type="noConversion"/>
  </si>
  <si>
    <t>Katie 0.5AM                                 Eric 0.5AM</t>
    <phoneticPr fontId="4" type="noConversion"/>
  </si>
  <si>
    <t>友好 8:45am CT</t>
    <phoneticPr fontId="4" type="noConversion"/>
  </si>
  <si>
    <t>少華 FU eye clinic 0930</t>
    <phoneticPr fontId="4" type="noConversion"/>
  </si>
  <si>
    <t>秋 VL</t>
    <phoneticPr fontId="4" type="noConversion"/>
  </si>
  <si>
    <t xml:space="preserve"> 3:30-5 ACC Seminar </t>
    <phoneticPr fontId="4" type="noConversion"/>
  </si>
  <si>
    <t>10ceu</t>
    <phoneticPr fontId="4" type="noConversion"/>
  </si>
  <si>
    <t>Katie 0.75</t>
    <phoneticPr fontId="4" type="noConversion"/>
  </si>
  <si>
    <t>Aggie</t>
    <phoneticPr fontId="4" type="noConversion"/>
  </si>
  <si>
    <t>0.3(8bed)</t>
  </si>
  <si>
    <t xml:space="preserve">         0.25PM</t>
    <phoneticPr fontId="4" type="noConversion"/>
  </si>
  <si>
    <t>高玲 10:45 ACC FU</t>
    <phoneticPr fontId="4" type="noConversion"/>
  </si>
  <si>
    <t>光劭 SL</t>
    <phoneticPr fontId="4" type="noConversion"/>
  </si>
  <si>
    <t>1030-1200  ,1330-1200</t>
    <phoneticPr fontId="4" type="noConversion"/>
  </si>
  <si>
    <t>AM,1500-1630</t>
  </si>
  <si>
    <t>10 case</t>
    <phoneticPr fontId="4" type="noConversion"/>
  </si>
  <si>
    <t>17 case</t>
  </si>
  <si>
    <t>3case</t>
    <phoneticPr fontId="4" type="noConversion"/>
  </si>
  <si>
    <t>7 case</t>
    <phoneticPr fontId="4" type="noConversion"/>
  </si>
  <si>
    <t>7 case</t>
  </si>
  <si>
    <t>1400-1500 PRCC Respiratory Nursing Clinical placement</t>
    <phoneticPr fontId="4" type="noConversion"/>
  </si>
  <si>
    <t>0.25(8bed)</t>
    <phoneticPr fontId="4" type="noConversion"/>
  </si>
  <si>
    <t>11case</t>
    <phoneticPr fontId="4" type="noConversion"/>
  </si>
  <si>
    <t>12case</t>
    <phoneticPr fontId="4" type="noConversion"/>
  </si>
  <si>
    <t>16case</t>
    <phoneticPr fontId="4" type="noConversion"/>
  </si>
  <si>
    <t>2case</t>
    <phoneticPr fontId="4" type="noConversion"/>
  </si>
  <si>
    <t>5case</t>
    <phoneticPr fontId="4" type="noConversion"/>
  </si>
  <si>
    <t>AM, 1330-1530</t>
    <phoneticPr fontId="4" type="noConversion"/>
  </si>
  <si>
    <t>Harry Yip</t>
  </si>
  <si>
    <t>Olgas</t>
  </si>
  <si>
    <t>Anny</t>
  </si>
  <si>
    <t>Eric Mon 0.5 AM
Aggie Wed CRP_8 beds</t>
  </si>
  <si>
    <t>Cherrie</t>
    <phoneticPr fontId="4" type="noConversion"/>
  </si>
  <si>
    <t xml:space="preserve">CPPC </t>
    <phoneticPr fontId="4" type="noConversion"/>
  </si>
  <si>
    <t>NSM</t>
    <phoneticPr fontId="4" type="noConversion"/>
  </si>
  <si>
    <t xml:space="preserve">R8B, 2/3 R9A </t>
    <phoneticPr fontId="4" type="noConversion"/>
  </si>
  <si>
    <t>R7C, 1/3 R9A</t>
    <phoneticPr fontId="8" type="noConversion"/>
  </si>
  <si>
    <t>Katie AM  +/- 0.25 PM, Vincent Lam every Fri 0.75 (preferably GMC/CPPC)</t>
  </si>
  <si>
    <t>Vivian</t>
    <phoneticPr fontId="4" type="noConversion"/>
  </si>
  <si>
    <r>
      <rPr>
        <sz val="36"/>
        <rFont val="微軟正黑體"/>
        <family val="2"/>
        <charset val="136"/>
      </rPr>
      <t>張麗</t>
    </r>
    <r>
      <rPr>
        <sz val="36"/>
        <rFont val="Times New Roman"/>
        <family val="1"/>
      </rPr>
      <t xml:space="preserve"> </t>
    </r>
    <phoneticPr fontId="4" type="noConversion"/>
  </si>
  <si>
    <t>5. Starting from 14 Oct 2019 DRM (CRP) starts, deduce 0.4 therapist manpower from GMC team (Tue) and CPPC team (Mon &amp; Fri), deduce 0.25/0.4 therapist manpower from GMC team (Thurs)</t>
  </si>
  <si>
    <t>8. Starting from 3 April 2024, Aggie KWAN will stay in RBIP (AM) every Wednesday for CRP &amp; 8 medical beds.</t>
  </si>
  <si>
    <r>
      <rPr>
        <sz val="36"/>
        <rFont val="微軟正黑體"/>
        <family val="2"/>
        <charset val="136"/>
      </rPr>
      <t>桂花</t>
    </r>
    <r>
      <rPr>
        <sz val="36"/>
        <rFont val="Times New Roman"/>
        <family val="1"/>
      </rPr>
      <t xml:space="preserve"> </t>
    </r>
    <phoneticPr fontId="4" type="noConversion"/>
  </si>
  <si>
    <t>Mon / Fri:  Amanda</t>
    <phoneticPr fontId="4" type="noConversion"/>
  </si>
  <si>
    <t>宛諭</t>
    <phoneticPr fontId="4" type="noConversion"/>
  </si>
  <si>
    <r>
      <rPr>
        <sz val="36"/>
        <rFont val="微軟正黑體"/>
        <family val="2"/>
        <charset val="136"/>
      </rPr>
      <t>宛諭</t>
    </r>
    <r>
      <rPr>
        <sz val="36"/>
        <rFont val="Times New Roman"/>
        <family val="1"/>
      </rPr>
      <t xml:space="preserve"> </t>
    </r>
    <phoneticPr fontId="4" type="noConversion"/>
  </si>
  <si>
    <t>君</t>
    <phoneticPr fontId="4" type="noConversion"/>
  </si>
  <si>
    <r>
      <rPr>
        <sz val="60"/>
        <color rgb="FFFF0000"/>
        <rFont val="微軟正黑體"/>
        <family val="2"/>
        <charset val="136"/>
      </rPr>
      <t>浩然</t>
    </r>
    <r>
      <rPr>
        <sz val="60"/>
        <color rgb="FFFF0000"/>
        <rFont val="Malgun Gothic Semilight"/>
        <family val="2"/>
        <charset val="136"/>
      </rPr>
      <t xml:space="preserve"> </t>
    </r>
    <phoneticPr fontId="4" type="noConversion"/>
  </si>
  <si>
    <t>Harry Wed 0.25am + 0.25pm + neuro gym
Fri 0.25pm + neuro gym</t>
    <phoneticPr fontId="4" type="noConversion"/>
  </si>
  <si>
    <t>婉儀</t>
    <phoneticPr fontId="4" type="noConversion"/>
  </si>
  <si>
    <t>珊</t>
    <phoneticPr fontId="4" type="noConversion"/>
  </si>
  <si>
    <t xml:space="preserve">Derek </t>
    <phoneticPr fontId="4" type="noConversion"/>
  </si>
  <si>
    <t>Tue / Thurs:: Becky Law</t>
    <phoneticPr fontId="4" type="noConversion"/>
  </si>
  <si>
    <r>
      <rPr>
        <sz val="55"/>
        <rFont val="Malgun Gothic Semilight"/>
        <family val="2"/>
        <charset val="136"/>
      </rPr>
      <t>桂花</t>
    </r>
    <r>
      <rPr>
        <sz val="55"/>
        <rFont val="Times New Roman"/>
        <family val="1"/>
      </rPr>
      <t xml:space="preserve"> </t>
    </r>
    <phoneticPr fontId="4" type="noConversion"/>
  </si>
  <si>
    <r>
      <rPr>
        <sz val="55"/>
        <rFont val="微軟正黑體"/>
        <family val="2"/>
        <charset val="136"/>
      </rPr>
      <t>婉儀</t>
    </r>
    <r>
      <rPr>
        <sz val="55"/>
        <rFont val="Times New Roman"/>
        <family val="1"/>
      </rPr>
      <t xml:space="preserve"> </t>
    </r>
    <phoneticPr fontId="4" type="noConversion"/>
  </si>
  <si>
    <r>
      <rPr>
        <sz val="55"/>
        <rFont val="微軟正黑體"/>
        <family val="2"/>
        <charset val="136"/>
      </rPr>
      <t>少華</t>
    </r>
    <r>
      <rPr>
        <sz val="55"/>
        <rFont val="Times New Roman"/>
        <family val="1"/>
      </rPr>
      <t xml:space="preserve">  </t>
    </r>
    <phoneticPr fontId="4" type="noConversion"/>
  </si>
  <si>
    <r>
      <rPr>
        <sz val="55"/>
        <rFont val="Malgun Gothic Semilight"/>
        <family val="2"/>
        <charset val="136"/>
      </rPr>
      <t>張麗</t>
    </r>
    <r>
      <rPr>
        <sz val="55"/>
        <rFont val="Times New Roman"/>
        <family val="1"/>
      </rPr>
      <t xml:space="preserve"> </t>
    </r>
  </si>
  <si>
    <t>Harrison</t>
    <phoneticPr fontId="4" type="noConversion"/>
  </si>
  <si>
    <r>
      <rPr>
        <sz val="55"/>
        <color theme="1"/>
        <rFont val="Malgun Gothic Semilight"/>
        <family val="2"/>
        <charset val="136"/>
      </rPr>
      <t>秋</t>
    </r>
    <r>
      <rPr>
        <sz val="55"/>
        <color theme="1"/>
        <rFont val="Times New Roman"/>
        <family val="1"/>
      </rPr>
      <t xml:space="preserve">  </t>
    </r>
    <phoneticPr fontId="4" type="noConversion"/>
  </si>
  <si>
    <t xml:space="preserve">Aster </t>
    <phoneticPr fontId="4" type="noConversion"/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</si>
  <si>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2"/>
      </rPr>
      <t xml:space="preserve"> </t>
    </r>
    <phoneticPr fontId="4" type="noConversion"/>
  </si>
  <si>
    <t>浩然 whole day robotic</t>
    <phoneticPr fontId="4" type="noConversion"/>
  </si>
  <si>
    <t xml:space="preserve">Whole day </t>
    <phoneticPr fontId="4" type="noConversion"/>
  </si>
  <si>
    <r>
      <rPr>
        <sz val="36"/>
        <rFont val="微軟正黑體"/>
        <family val="2"/>
        <charset val="136"/>
      </rPr>
      <t>淑貞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VL</t>
    </r>
    <phoneticPr fontId="4" type="noConversion"/>
  </si>
  <si>
    <t>Yannis</t>
    <phoneticPr fontId="4" type="noConversion"/>
  </si>
  <si>
    <t>Kristy</t>
    <phoneticPr fontId="4" type="noConversion"/>
  </si>
  <si>
    <t>VL</t>
    <phoneticPr fontId="4" type="noConversion"/>
  </si>
  <si>
    <t>Tim</t>
    <phoneticPr fontId="4" type="noConversion"/>
  </si>
  <si>
    <t>TIL</t>
    <phoneticPr fontId="4" type="noConversion"/>
  </si>
  <si>
    <t>Sally Yip</t>
    <phoneticPr fontId="4" type="noConversion"/>
  </si>
  <si>
    <t>Wilson</t>
    <phoneticPr fontId="4" type="noConversion"/>
  </si>
  <si>
    <t>Hang</t>
    <phoneticPr fontId="4" type="noConversion"/>
  </si>
  <si>
    <t>16:00 BMW and new NMD services meeting</t>
    <phoneticPr fontId="4" type="noConversion"/>
  </si>
  <si>
    <t>updated by Connie on 28/11/2025</t>
    <phoneticPr fontId="4" type="noConversion"/>
  </si>
  <si>
    <t>ASP (zoom) 0830-1030</t>
    <phoneticPr fontId="4" type="noConversion"/>
  </si>
  <si>
    <t>1030-1200</t>
    <phoneticPr fontId="4" type="noConversion"/>
  </si>
  <si>
    <t>Eric Tse</t>
    <phoneticPr fontId="4" type="noConversion"/>
  </si>
  <si>
    <t>0.5 AM</t>
    <phoneticPr fontId="4" type="noConversion"/>
  </si>
  <si>
    <r>
      <rPr>
        <sz val="55"/>
        <rFont val="微軟正黑體"/>
        <family val="2"/>
        <charset val="136"/>
      </rPr>
      <t>光劭</t>
    </r>
    <r>
      <rPr>
        <sz val="55"/>
        <rFont val="Times New Roman"/>
        <family val="2"/>
      </rPr>
      <t xml:space="preserve"> </t>
    </r>
    <phoneticPr fontId="4" type="noConversion"/>
  </si>
  <si>
    <t>PM</t>
    <phoneticPr fontId="4" type="noConversion"/>
  </si>
  <si>
    <t>R7B, 1/3 R8A, 1/3 R8C</t>
    <phoneticPr fontId="4" type="noConversion"/>
  </si>
  <si>
    <t>1500-1630</t>
    <phoneticPr fontId="4" type="noConversion"/>
  </si>
  <si>
    <t>1330-1500</t>
    <phoneticPr fontId="4" type="noConversion"/>
  </si>
  <si>
    <t>Relieve SBIP PM</t>
    <phoneticPr fontId="4" type="noConversion"/>
  </si>
  <si>
    <t>PMH Blood taking</t>
    <phoneticPr fontId="4" type="noConversion"/>
  </si>
  <si>
    <t>SMM (R10A)</t>
    <phoneticPr fontId="4" type="noConversion"/>
  </si>
  <si>
    <t>2, 4, 5, 6, 7, 8, 9, 10 , 12, 14, 18, 19, 40</t>
    <phoneticPr fontId="4" type="noConversion"/>
  </si>
  <si>
    <t>FO (R11C)</t>
    <phoneticPr fontId="4" type="noConversion"/>
  </si>
  <si>
    <t>6, 8</t>
    <phoneticPr fontId="4" type="noConversion"/>
  </si>
  <si>
    <t>DRO (R11A)</t>
    <phoneticPr fontId="4" type="noConversion"/>
  </si>
  <si>
    <t>5, 7, 8, 9, 21, 22, 27, 29, 30, 32, 34, 35, 38, 39, 41, 50</t>
    <phoneticPr fontId="4" type="noConversion"/>
  </si>
  <si>
    <t>NSM (R8A)</t>
    <phoneticPr fontId="4" type="noConversion"/>
  </si>
  <si>
    <t>38, 43, 44, 46, 51</t>
    <phoneticPr fontId="4" type="noConversion"/>
  </si>
  <si>
    <r>
      <rPr>
        <sz val="36"/>
        <rFont val="微軟正黑體"/>
        <family val="2"/>
        <charset val="136"/>
      </rPr>
      <t>婉儀</t>
    </r>
    <r>
      <rPr>
        <sz val="36"/>
        <rFont val="Times"/>
        <family val="1"/>
      </rPr>
      <t xml:space="preserve"> 1530 PT FU</t>
    </r>
    <phoneticPr fontId="4" type="noConversion"/>
  </si>
  <si>
    <t>AM, 1330-1515</t>
    <phoneticPr fontId="4" type="noConversion"/>
  </si>
  <si>
    <t>AM,
1500-1630</t>
    <phoneticPr fontId="4" type="noConversion"/>
  </si>
  <si>
    <t>updated by Connie on 1/12/2025</t>
    <phoneticPr fontId="4" type="noConversion"/>
  </si>
  <si>
    <t>2, 6, 8, 28</t>
    <phoneticPr fontId="4" type="noConversion"/>
  </si>
  <si>
    <t>36, 42, 44</t>
    <phoneticPr fontId="4" type="noConversion"/>
  </si>
  <si>
    <t>46, 48</t>
    <phoneticPr fontId="4" type="noConversion"/>
  </si>
  <si>
    <t>FO (R11B)</t>
    <phoneticPr fontId="4" type="noConversion"/>
  </si>
  <si>
    <t>2, 6, 8, 10, 12, 28, 30, 32, 34</t>
    <phoneticPr fontId="4" type="noConversion"/>
  </si>
  <si>
    <t>5, 6, 7, 21, 22, 24, 27, 29, 30, 31, 32, 34, 35, 38, 39, 41, 44</t>
    <phoneticPr fontId="4" type="noConversion"/>
  </si>
  <si>
    <t>38, 41, 43, 46, 48, 50</t>
    <phoneticPr fontId="4" type="noConversion"/>
  </si>
  <si>
    <t>PM Tsing Yi dog bite training</t>
  </si>
  <si>
    <t>Harry Lee</t>
    <phoneticPr fontId="4" type="noConversion"/>
  </si>
  <si>
    <t>0.25 AM + 0.25 PM</t>
    <phoneticPr fontId="4" type="noConversion"/>
  </si>
  <si>
    <t>updated by Connie on 2/12/2025</t>
    <phoneticPr fontId="4" type="noConversion"/>
  </si>
  <si>
    <t>0900-1030, 
PM</t>
    <phoneticPr fontId="4" type="noConversion"/>
  </si>
  <si>
    <t>1030-1200,
1500-1630</t>
    <phoneticPr fontId="4" type="noConversion"/>
  </si>
  <si>
    <t>0900-1030,
1330-1500</t>
    <phoneticPr fontId="4" type="noConversion"/>
  </si>
  <si>
    <t>SMM (R8A)</t>
    <phoneticPr fontId="4" type="noConversion"/>
  </si>
  <si>
    <t>17, 18, 19, 21</t>
    <phoneticPr fontId="4" type="noConversion"/>
  </si>
  <si>
    <t>22, 24, 26, 27, 28</t>
    <phoneticPr fontId="4" type="noConversion"/>
  </si>
  <si>
    <t>1, 2, 4, 6, 8, 28, 36, 42, 44, 46, 48</t>
    <phoneticPr fontId="4" type="noConversion"/>
  </si>
  <si>
    <t>6, 8, 10, 12, 28, 32, 34</t>
    <phoneticPr fontId="4" type="noConversion"/>
  </si>
  <si>
    <t>MC (R9A)</t>
    <phoneticPr fontId="4" type="noConversion"/>
  </si>
  <si>
    <t>38, 42</t>
    <phoneticPr fontId="4" type="noConversion"/>
  </si>
  <si>
    <t>20, 21, 30</t>
    <phoneticPr fontId="4" type="noConversion"/>
  </si>
  <si>
    <t>NSM 
(R8A)</t>
    <phoneticPr fontId="4" type="noConversion"/>
  </si>
  <si>
    <t>38,41,43,46, 48,50</t>
    <phoneticPr fontId="4" type="noConversion"/>
  </si>
  <si>
    <t>1445-1645 e-doc train-the-trainer workshop</t>
    <phoneticPr fontId="4" type="noConversion"/>
  </si>
  <si>
    <t>1030-1230 e-doc train-the-trainer workshop</t>
    <phoneticPr fontId="4" type="noConversion"/>
  </si>
  <si>
    <r>
      <rPr>
        <sz val="60"/>
        <rFont val="微軟正黑體"/>
        <family val="2"/>
        <charset val="136"/>
      </rPr>
      <t>浩然</t>
    </r>
    <r>
      <rPr>
        <sz val="60"/>
        <rFont val="Malgun Gothic Semilight"/>
        <family val="2"/>
        <charset val="136"/>
      </rPr>
      <t xml:space="preserve"> </t>
    </r>
    <phoneticPr fontId="4" type="noConversion"/>
  </si>
  <si>
    <t>浩然 AM, 1500-1630 robotic</t>
    <phoneticPr fontId="4" type="noConversion"/>
  </si>
  <si>
    <t>0900-1030,
1500-1630</t>
    <phoneticPr fontId="4" type="noConversion"/>
  </si>
  <si>
    <r>
      <rPr>
        <sz val="36"/>
        <rFont val="微軟正黑體"/>
        <family val="2"/>
        <charset val="136"/>
      </rPr>
      <t>桂花</t>
    </r>
    <r>
      <rPr>
        <sz val="36"/>
        <rFont val="Times New Roman"/>
        <family val="1"/>
      </rPr>
      <t xml:space="preserve"> </t>
    </r>
    <r>
      <rPr>
        <sz val="36"/>
        <rFont val="Times New Roman"/>
        <family val="2"/>
        <charset val="136"/>
      </rPr>
      <t>SL</t>
    </r>
    <phoneticPr fontId="4" type="noConversion"/>
  </si>
  <si>
    <t>1030-1200, 1330-1500</t>
    <phoneticPr fontId="4" type="noConversion"/>
  </si>
  <si>
    <t>updated by Connie on 3/12/2025</t>
    <phoneticPr fontId="4" type="noConversion"/>
  </si>
  <si>
    <t>2, 4, 6, 7, 8, 13, 28</t>
    <phoneticPr fontId="4" type="noConversion"/>
  </si>
  <si>
    <t>36, 42, 44, 46, 47, 48</t>
    <phoneticPr fontId="4" type="noConversion"/>
  </si>
  <si>
    <t>5, 8, 9, 10, 21, 22, 24, 27, 29</t>
    <phoneticPr fontId="4" type="noConversion"/>
  </si>
  <si>
    <t>30, 31, 32, 34, 35, 38, 39, 41, 44</t>
    <phoneticPr fontId="4" type="noConversion"/>
  </si>
  <si>
    <t>NSM
(R8A)</t>
    <phoneticPr fontId="4" type="noConversion"/>
  </si>
  <si>
    <t>41,43,44,46, 47,48,50,51, 52</t>
    <phoneticPr fontId="4" type="noConversion"/>
  </si>
  <si>
    <t>updated by Connie on 4/12/2025</t>
    <phoneticPr fontId="4" type="noConversion"/>
  </si>
  <si>
    <t>少華 PM VL</t>
    <phoneticPr fontId="4" type="noConversion"/>
  </si>
  <si>
    <t>Harry Lee</t>
    <phoneticPr fontId="4" type="noConversion"/>
  </si>
  <si>
    <t>0.25 PM</t>
    <phoneticPr fontId="4" type="noConversion"/>
  </si>
  <si>
    <t>Vivian</t>
    <phoneticPr fontId="4" type="noConversion"/>
  </si>
  <si>
    <t>0.5 AM</t>
    <phoneticPr fontId="4" type="noConversion"/>
  </si>
  <si>
    <t>Vincent</t>
    <phoneticPr fontId="4" type="noConversion"/>
  </si>
  <si>
    <t>0900-1030</t>
    <phoneticPr fontId="4" type="noConversion"/>
  </si>
  <si>
    <t>浩然 1030-1200, PM robotic</t>
    <phoneticPr fontId="4" type="noConversion"/>
  </si>
  <si>
    <t>1330-1500</t>
    <phoneticPr fontId="4" type="noConversion"/>
  </si>
  <si>
    <t>Relieve SBIP AM</t>
    <phoneticPr fontId="4" type="noConversion"/>
  </si>
  <si>
    <t>友好</t>
  </si>
  <si>
    <t>41, 44</t>
    <phoneticPr fontId="4" type="noConversion"/>
  </si>
  <si>
    <t>5, 10, 11, 12, 24, 30, 32, 38, 39</t>
    <phoneticPr fontId="4" type="noConversion"/>
  </si>
  <si>
    <t>41,43,46,48, 49,50</t>
    <phoneticPr fontId="4" type="noConversion"/>
  </si>
  <si>
    <t>2, 7, 12, 13, 28, 36, 45, 46, 47, 48</t>
    <phoneticPr fontId="4" type="noConversion"/>
  </si>
  <si>
    <t>6, 10, 12, 26, 27, 28, 30 ,32, 37</t>
    <phoneticPr fontId="4" type="noConversion"/>
  </si>
  <si>
    <t>26,30</t>
    <phoneticPr fontId="4" type="noConversion"/>
  </si>
  <si>
    <t>NSM
R7B</t>
    <phoneticPr fontId="4" type="noConversion"/>
  </si>
  <si>
    <t>updated by Connie on 5/12/2025</t>
    <phoneticPr fontId="4" type="noConversion"/>
  </si>
  <si>
    <t xml:space="preserve">Connie </t>
    <phoneticPr fontId="4" type="noConversion"/>
  </si>
  <si>
    <t>4PM CRSSC</t>
    <phoneticPr fontId="4" type="noConversion"/>
  </si>
  <si>
    <r>
      <rPr>
        <sz val="36"/>
        <rFont val="微軟正黑體"/>
        <family val="2"/>
        <charset val="136"/>
      </rPr>
      <t>桂花</t>
    </r>
    <r>
      <rPr>
        <sz val="36"/>
        <rFont val="Times New Roman"/>
        <family val="1"/>
      </rPr>
      <t/>
    </r>
    <phoneticPr fontId="4" type="noConversion"/>
  </si>
  <si>
    <r>
      <rPr>
        <sz val="36"/>
        <rFont val="微軟正黑體"/>
        <family val="2"/>
        <charset val="136"/>
      </rPr>
      <t>淑貞</t>
    </r>
    <r>
      <rPr>
        <sz val="36"/>
        <rFont val="Times New Roman"/>
        <family val="1"/>
      </rPr>
      <t/>
    </r>
    <phoneticPr fontId="4" type="noConversion"/>
  </si>
  <si>
    <r>
      <rPr>
        <sz val="36"/>
        <rFont val="微軟正黑體"/>
        <family val="2"/>
        <charset val="136"/>
      </rPr>
      <t>宛諭</t>
    </r>
    <r>
      <rPr>
        <sz val="36"/>
        <rFont val="Times New Roman"/>
        <family val="1"/>
      </rPr>
      <t xml:space="preserve"> VL</t>
    </r>
    <phoneticPr fontId="4" type="noConversion"/>
  </si>
  <si>
    <r>
      <rPr>
        <sz val="55"/>
        <rFont val="細明體"/>
        <family val="3"/>
        <charset val="136"/>
      </rPr>
      <t>淑貞</t>
    </r>
    <r>
      <rPr>
        <sz val="55"/>
        <rFont val="Times New Roman"/>
        <family val="1"/>
      </rPr>
      <t xml:space="preserve"> </t>
    </r>
    <phoneticPr fontId="4" type="noConversion"/>
  </si>
  <si>
    <t xml:space="preserve">Anny </t>
    <phoneticPr fontId="4" type="noConversion"/>
  </si>
  <si>
    <t>6, 7, 10, 12</t>
    <phoneticPr fontId="4" type="noConversion"/>
  </si>
  <si>
    <t>SFM(R10C)</t>
    <phoneticPr fontId="4" type="noConversion"/>
  </si>
  <si>
    <t>1, 2, 3, 4, 5</t>
    <phoneticPr fontId="4" type="noConversion"/>
  </si>
  <si>
    <t>SFM (R10C)</t>
    <phoneticPr fontId="4" type="noConversion"/>
  </si>
  <si>
    <t>12, 13, 14, 15, 24, 34, 39</t>
    <phoneticPr fontId="4" type="noConversion"/>
  </si>
  <si>
    <t>42, 43, 44, 45, 47, 51</t>
    <phoneticPr fontId="4" type="noConversion"/>
  </si>
  <si>
    <t>SMM (R10A)</t>
  </si>
  <si>
    <t>2, 5, 7, 8, 9, 15, 16, 18</t>
    <phoneticPr fontId="4" type="noConversion"/>
  </si>
  <si>
    <t>5, 7, 8, 9, 10, 11, 12, 13, 14, 15</t>
    <phoneticPr fontId="4" type="noConversion"/>
  </si>
  <si>
    <t>4, 14, 16, 23, 27, 29, 35, 36,37</t>
    <phoneticPr fontId="4" type="noConversion"/>
  </si>
  <si>
    <t>CPPC (R8B)</t>
    <phoneticPr fontId="4" type="noConversion"/>
  </si>
  <si>
    <t>Anny</t>
    <phoneticPr fontId="4" type="noConversion"/>
  </si>
  <si>
    <t>AM VL</t>
    <phoneticPr fontId="4" type="noConversion"/>
  </si>
  <si>
    <t>婉儀 1530 PT FU</t>
    <phoneticPr fontId="4" type="noConversion"/>
  </si>
  <si>
    <t>張麗</t>
  </si>
  <si>
    <t>君</t>
  </si>
  <si>
    <t>淑貞</t>
  </si>
  <si>
    <t>ASP (Zoom) 830-1030AM</t>
    <phoneticPr fontId="4" type="noConversion"/>
  </si>
  <si>
    <t>0.25 AM</t>
    <phoneticPr fontId="4" type="noConversion"/>
  </si>
  <si>
    <r>
      <t>麗雅</t>
    </r>
    <r>
      <rPr>
        <sz val="55"/>
        <rFont val="Times New Roman"/>
        <family val="2"/>
        <charset val="136"/>
      </rPr>
      <t xml:space="preserve"> </t>
    </r>
  </si>
  <si>
    <t>淑貞</t>
    <phoneticPr fontId="4" type="noConversion"/>
  </si>
  <si>
    <t>6, 7, 9, 10, 11, 12, 20, 21, 22, 24, 25, 27, 38, 39, 41, 43</t>
    <phoneticPr fontId="4" type="noConversion"/>
  </si>
  <si>
    <t>44, 46</t>
    <phoneticPr fontId="4" type="noConversion"/>
  </si>
  <si>
    <t>SFM (R9C)</t>
    <phoneticPr fontId="4" type="noConversion"/>
  </si>
  <si>
    <t>4, 31, 33, 35</t>
    <phoneticPr fontId="4" type="noConversion"/>
  </si>
  <si>
    <t>5, 6, 7, 8, 9</t>
    <phoneticPr fontId="4" type="noConversion"/>
  </si>
  <si>
    <t>10, 11, 12, 13, 14, 15</t>
    <phoneticPr fontId="4" type="noConversion"/>
  </si>
  <si>
    <t>2, 7, 8, 9, 12, 15, 16</t>
    <phoneticPr fontId="4" type="noConversion"/>
  </si>
  <si>
    <t>4, 14, 16, 23, 27, 29, 35, 36, 37</t>
    <phoneticPr fontId="4" type="noConversion"/>
  </si>
  <si>
    <t>AM, 1330-1400</t>
    <phoneticPr fontId="4" type="noConversion"/>
  </si>
  <si>
    <t>麗雅 1515 ACC FU</t>
    <phoneticPr fontId="4" type="noConversion"/>
  </si>
  <si>
    <t>少華 1530 PT FU</t>
    <phoneticPr fontId="4" type="noConversion"/>
  </si>
  <si>
    <t>8 beds</t>
    <phoneticPr fontId="4" type="noConversion"/>
  </si>
  <si>
    <t>FO</t>
    <phoneticPr fontId="4" type="noConversion"/>
  </si>
  <si>
    <t>12 cases</t>
    <phoneticPr fontId="4" type="noConversion"/>
  </si>
  <si>
    <t>4 cases</t>
    <phoneticPr fontId="4" type="noConversion"/>
  </si>
  <si>
    <t>GMC</t>
    <phoneticPr fontId="4" type="noConversion"/>
  </si>
  <si>
    <t>3 cases</t>
    <phoneticPr fontId="4" type="noConversion"/>
  </si>
  <si>
    <t>1 case</t>
    <phoneticPr fontId="4" type="noConversion"/>
  </si>
  <si>
    <t>No. of beds for relieving</t>
  </si>
  <si>
    <t>Total no. of SS on duty</t>
  </si>
  <si>
    <t>Total no.of pt per SS</t>
  </si>
  <si>
    <t>Total no. of pt per team</t>
  </si>
  <si>
    <t>Average SS per team</t>
  </si>
  <si>
    <t>珊</t>
  </si>
  <si>
    <t xml:space="preserve">明 </t>
  </si>
  <si>
    <r>
      <rPr>
        <sz val="36"/>
        <rFont val="微軟正黑體"/>
        <family val="2"/>
        <charset val="136"/>
      </rPr>
      <t>光劭</t>
    </r>
    <r>
      <rPr>
        <sz val="36"/>
        <rFont val="Times New Roman"/>
        <family val="2"/>
      </rPr>
      <t xml:space="preserve"> </t>
    </r>
  </si>
  <si>
    <t>浩然 whole day robotic</t>
  </si>
  <si>
    <t>婉儀</t>
  </si>
  <si>
    <r>
      <rPr>
        <sz val="36"/>
        <rFont val="微軟正黑體"/>
        <family val="2"/>
        <charset val="136"/>
      </rPr>
      <t>宛諭</t>
    </r>
    <r>
      <rPr>
        <sz val="36"/>
        <rFont val="Times New Roman"/>
        <family val="1"/>
      </rPr>
      <t xml:space="preserve"> VL</t>
    </r>
  </si>
  <si>
    <r>
      <rPr>
        <sz val="36"/>
        <rFont val="微軟正黑體"/>
        <family val="2"/>
        <charset val="136"/>
      </rPr>
      <t>張麗</t>
    </r>
    <r>
      <rPr>
        <sz val="36"/>
        <rFont val="Times New Roman"/>
        <family val="1"/>
      </rPr>
      <t xml:space="preserve"> SDO</t>
    </r>
  </si>
  <si>
    <t>少華</t>
  </si>
  <si>
    <t>秋</t>
  </si>
  <si>
    <t xml:space="preserve">麗雅 </t>
  </si>
  <si>
    <t>Harry Wed 0.25am + 0.25pm + neuro gym
Fri 0.25pm + neuro gym</t>
  </si>
  <si>
    <r>
      <t xml:space="preserve">1. Total no. of SS on duty = </t>
    </r>
    <r>
      <rPr>
        <sz val="28"/>
        <color rgb="FFFF0000"/>
        <rFont val="Times New Roman"/>
        <family val="1"/>
      </rPr>
      <t xml:space="preserve">13 </t>
    </r>
    <r>
      <rPr>
        <sz val="28"/>
        <color rgb="FF000000"/>
        <rFont val="Times New Roman"/>
        <family val="1"/>
      </rPr>
      <t xml:space="preserve"> on Mon-Fri (Effective from 12/11/20), at least 1 SS per team over the whole day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</si>
</sst>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0.00_ "/>
    <numFmt numFmtId="166" formatCode="0.00_);[Red]\(0.00\)"/>
    <numFmt numFmtId="167" formatCode="mm&quot;月&quot;dd&quot;日&quot;"/>
  </numFmts>
  <fonts count="94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</font>
    <font>
      <b/>
      <sz val="36"/>
      <color rgb="FFFFFFFF"/>
      <name val="Times New Roman"/>
      <family val="1"/>
    </font>
    <font>
      <sz val="9"/>
      <name val="Calibri"/>
      <family val="2"/>
      <charset val="136"/>
      <scheme val="minor"/>
    </font>
    <font>
      <b/>
      <sz val="36"/>
      <color theme="0"/>
      <name val="Times New Roman"/>
      <family val="1"/>
    </font>
    <font>
      <b/>
      <sz val="28"/>
      <color rgb="FFFFFFFF"/>
      <name val="Times New Roman"/>
      <family val="1"/>
    </font>
    <font>
      <sz val="28"/>
      <color theme="1"/>
      <name val="Times New Roman"/>
      <family val="1"/>
    </font>
    <font>
      <sz val="9"/>
      <name val="Calibri"/>
      <family val="3"/>
      <charset val="136"/>
      <scheme val="minor"/>
    </font>
    <font>
      <sz val="11"/>
      <color rgb="FF000000"/>
      <name val="新細明體"/>
      <family val="2"/>
      <charset val="136"/>
    </font>
    <font>
      <sz val="36"/>
      <name val="Times New Roman"/>
      <family val="1"/>
    </font>
    <font>
      <sz val="48"/>
      <color theme="1"/>
      <name val="Times New Roman"/>
      <family val="1"/>
    </font>
    <font>
      <sz val="48"/>
      <name val="Times New Roman"/>
      <family val="1"/>
    </font>
    <font>
      <sz val="36"/>
      <color theme="1"/>
      <name val="Calibri"/>
      <family val="1"/>
      <scheme val="minor"/>
    </font>
    <font>
      <sz val="36"/>
      <color rgb="FF000000"/>
      <name val="Times New Roman"/>
      <family val="1"/>
    </font>
    <font>
      <sz val="36"/>
      <color rgb="FFFF0000"/>
      <name val="Times New Roman"/>
      <family val="1"/>
    </font>
    <font>
      <sz val="36"/>
      <color rgb="FF000000"/>
      <name val="Calibri"/>
      <family val="1"/>
      <scheme val="minor"/>
    </font>
    <font>
      <sz val="36"/>
      <color theme="1"/>
      <name val="Times New Roman"/>
      <family val="1"/>
    </font>
    <font>
      <sz val="36"/>
      <color theme="1"/>
      <name val="Calibri Light"/>
      <family val="2"/>
      <charset val="136"/>
      <scheme val="major"/>
    </font>
    <font>
      <sz val="48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48"/>
      <color rgb="FFFF0000"/>
      <name val="Times New Roman"/>
      <family val="1"/>
    </font>
    <font>
      <i/>
      <sz val="36"/>
      <color rgb="FFFF0000"/>
      <name val="Times New Roman"/>
      <family val="1"/>
    </font>
    <font>
      <sz val="36"/>
      <name val="Malgun Gothic Semilight"/>
      <family val="2"/>
      <charset val="136"/>
    </font>
    <font>
      <sz val="48"/>
      <name val="Malgun Gothic Semilight"/>
      <family val="2"/>
      <charset val="136"/>
    </font>
    <font>
      <sz val="36"/>
      <name val="細明體"/>
      <family val="3"/>
      <charset val="136"/>
    </font>
    <font>
      <sz val="36"/>
      <color rgb="FF000000"/>
      <name val="細明體"/>
      <family val="3"/>
      <charset val="136"/>
    </font>
    <font>
      <b/>
      <sz val="28"/>
      <color theme="1"/>
      <name val="Times New Roman"/>
      <family val="1"/>
    </font>
    <font>
      <sz val="48"/>
      <color theme="1"/>
      <name val="MingLiU"/>
      <family val="3"/>
      <charset val="136"/>
    </font>
    <font>
      <sz val="48"/>
      <color theme="1"/>
      <name val="細明體"/>
      <family val="3"/>
      <charset val="136"/>
    </font>
    <font>
      <sz val="36"/>
      <color rgb="FF000000"/>
      <name val="Malgun Gothic Semilight"/>
      <family val="2"/>
      <charset val="136"/>
    </font>
    <font>
      <sz val="28"/>
      <name val="Times New Roman"/>
      <family val="1"/>
    </font>
    <font>
      <sz val="48"/>
      <color rgb="FFFF0000"/>
      <name val="Malgun Gothic Semilight"/>
      <family val="2"/>
      <charset val="136"/>
    </font>
    <font>
      <sz val="34"/>
      <color theme="1"/>
      <name val="Times New Roman"/>
      <family val="1"/>
    </font>
    <font>
      <sz val="48"/>
      <color rgb="FF000000"/>
      <name val="Times New Roman"/>
      <family val="1"/>
    </font>
    <font>
      <b/>
      <sz val="48"/>
      <color rgb="FFC00000"/>
      <name val="Times New Roman"/>
      <family val="1"/>
    </font>
    <font>
      <sz val="34"/>
      <name val="Times New Roman"/>
      <family val="1"/>
    </font>
    <font>
      <b/>
      <sz val="36"/>
      <name val="Times New Roman"/>
      <family val="1"/>
    </font>
    <font>
      <b/>
      <sz val="60"/>
      <color rgb="FFFF0000"/>
      <name val="Times New Roman"/>
      <family val="1"/>
    </font>
    <font>
      <sz val="34"/>
      <name val="新細明體"/>
      <family val="2"/>
      <charset val="136"/>
    </font>
    <font>
      <sz val="34"/>
      <color theme="1"/>
      <name val="新細明體"/>
      <family val="2"/>
      <charset val="136"/>
    </font>
    <font>
      <sz val="28"/>
      <color rgb="FF000000"/>
      <name val="Times New Roman"/>
      <family val="1"/>
    </font>
    <font>
      <sz val="28"/>
      <color rgb="FF7030A0"/>
      <name val="Times New Roman"/>
      <family val="1"/>
    </font>
    <font>
      <sz val="28"/>
      <color theme="1"/>
      <name val="細明體"/>
      <family val="3"/>
      <charset val="136"/>
    </font>
    <font>
      <sz val="28"/>
      <color rgb="FFFFFFFF"/>
      <name val="Times New Roman"/>
      <family val="1"/>
    </font>
    <font>
      <b/>
      <sz val="28"/>
      <color rgb="FFC00000"/>
      <name val="Times New Roman"/>
      <family val="1"/>
    </font>
    <font>
      <b/>
      <sz val="28"/>
      <color rgb="FF000000"/>
      <name val="Times New Roman"/>
      <family val="1"/>
    </font>
    <font>
      <sz val="28"/>
      <color rgb="FFFF0000"/>
      <name val="Times New Roman"/>
      <family val="1"/>
    </font>
    <font>
      <b/>
      <sz val="28"/>
      <color rgb="FFFF0000"/>
      <name val="Times New Roman"/>
      <family val="1"/>
    </font>
    <font>
      <b/>
      <sz val="28"/>
      <color theme="5"/>
      <name val="Times New Roman"/>
      <family val="1"/>
    </font>
    <font>
      <b/>
      <sz val="28"/>
      <name val="Times New Roman"/>
      <family val="1"/>
    </font>
    <font>
      <sz val="28"/>
      <color rgb="FF00B0F0"/>
      <name val="Times New Roman"/>
      <family val="1"/>
    </font>
    <font>
      <sz val="48"/>
      <color theme="1"/>
      <name val="Calibri"/>
      <family val="2"/>
      <charset val="136"/>
      <scheme val="minor"/>
    </font>
    <font>
      <sz val="36"/>
      <color theme="1"/>
      <name val="Calibri"/>
      <family val="2"/>
      <charset val="136"/>
      <scheme val="minor"/>
    </font>
    <font>
      <sz val="48"/>
      <color theme="1"/>
      <name val="Malgun Gothic Semilight"/>
      <family val="2"/>
      <charset val="136"/>
    </font>
    <font>
      <sz val="36"/>
      <color theme="1"/>
      <name val="Malgun Gothic Semilight"/>
      <family val="2"/>
      <charset val="136"/>
    </font>
    <font>
      <sz val="48"/>
      <color rgb="FF000000"/>
      <name val="細明體"/>
      <family val="3"/>
      <charset val="136"/>
    </font>
    <font>
      <sz val="28"/>
      <color rgb="FF212529"/>
      <name val="Open Sans"/>
      <charset val="1"/>
    </font>
    <font>
      <sz val="36"/>
      <color rgb="FF242424"/>
      <name val="Aptos Narrow"/>
      <family val="1"/>
      <charset val="136"/>
    </font>
    <font>
      <sz val="26"/>
      <color rgb="FF212529"/>
      <name val="Open Sans"/>
      <family val="1"/>
      <charset val="136"/>
    </font>
    <font>
      <sz val="36"/>
      <color rgb="FFFF0000"/>
      <name val="Malgun Gothic Semilight"/>
      <family val="2"/>
      <charset val="136"/>
    </font>
    <font>
      <sz val="36"/>
      <name val="微軟正黑體"/>
      <family val="2"/>
      <charset val="136"/>
    </font>
    <font>
      <sz val="48"/>
      <color rgb="FF212529"/>
      <name val="Times New Roman"/>
      <family val="1"/>
    </font>
    <font>
      <sz val="36"/>
      <color theme="1"/>
      <name val="微軟正黑體"/>
      <family val="2"/>
      <charset val="136"/>
    </font>
    <font>
      <sz val="36"/>
      <name val="Times New Roman"/>
      <family val="2"/>
      <charset val="136"/>
    </font>
    <font>
      <sz val="36"/>
      <name val="Times New Roman"/>
      <family val="2"/>
    </font>
    <font>
      <sz val="48"/>
      <name val="細明體"/>
      <family val="3"/>
      <charset val="136"/>
    </font>
    <font>
      <sz val="60"/>
      <color theme="1"/>
      <name val="Times New Roman"/>
      <family val="1"/>
    </font>
    <font>
      <sz val="60"/>
      <name val="Times New Roman"/>
      <family val="1"/>
    </font>
    <font>
      <sz val="60"/>
      <color rgb="FFFF0000"/>
      <name val="Times New Roman"/>
      <family val="1"/>
    </font>
    <font>
      <sz val="60"/>
      <name val="Malgun Gothic Semilight"/>
      <family val="2"/>
      <charset val="136"/>
    </font>
    <font>
      <sz val="60"/>
      <name val="微軟正黑體"/>
      <family val="2"/>
      <charset val="136"/>
    </font>
    <font>
      <sz val="60"/>
      <color rgb="FF000000"/>
      <name val="Times New Roman"/>
      <family val="1"/>
    </font>
    <font>
      <sz val="60"/>
      <color rgb="FFFF0000"/>
      <name val="微軟正黑體"/>
      <family val="2"/>
      <charset val="136"/>
    </font>
    <font>
      <sz val="60"/>
      <color rgb="FFFF0000"/>
      <name val="Times New Roman"/>
      <family val="2"/>
      <charset val="136"/>
    </font>
    <font>
      <sz val="55"/>
      <color theme="1"/>
      <name val="Times New Roman"/>
      <family val="1"/>
    </font>
    <font>
      <sz val="55"/>
      <name val="Times New Roman"/>
      <family val="1"/>
    </font>
    <font>
      <sz val="60"/>
      <color rgb="FFFF0000"/>
      <name val="Malgun Gothic Semilight"/>
      <family val="2"/>
      <charset val="136"/>
    </font>
    <font>
      <sz val="45"/>
      <color theme="1"/>
      <name val="Times New Roman"/>
      <family val="1"/>
    </font>
    <font>
      <sz val="60"/>
      <color rgb="FFFF0000"/>
      <name val="細明體"/>
      <family val="3"/>
      <charset val="136"/>
    </font>
    <font>
      <sz val="55"/>
      <name val="Malgun Gothic Semilight"/>
      <family val="2"/>
      <charset val="136"/>
    </font>
    <font>
      <sz val="55"/>
      <name val="微軟正黑體"/>
      <family val="2"/>
      <charset val="136"/>
    </font>
    <font>
      <sz val="55"/>
      <color theme="1"/>
      <name val="微軟正黑體"/>
      <family val="2"/>
      <charset val="136"/>
    </font>
    <font>
      <sz val="55"/>
      <name val="細明體"/>
      <family val="3"/>
      <charset val="136"/>
    </font>
    <font>
      <sz val="55"/>
      <name val="Times New Roman"/>
      <family val="2"/>
      <charset val="136"/>
    </font>
    <font>
      <sz val="55"/>
      <color theme="1"/>
      <name val="Malgun Gothic Semilight"/>
      <family val="2"/>
      <charset val="136"/>
    </font>
    <font>
      <sz val="55"/>
      <color rgb="FFFF0000"/>
      <name val="微軟正黑體"/>
      <family val="2"/>
      <charset val="136"/>
    </font>
    <font>
      <sz val="55"/>
      <color rgb="FF212529"/>
      <name val="Times New Roman"/>
      <family val="1"/>
    </font>
    <font>
      <sz val="55"/>
      <color rgb="FF000000"/>
      <name val="Times New Roman"/>
      <family val="1"/>
    </font>
    <font>
      <sz val="36"/>
      <color rgb="FF212529"/>
      <name val="Open Sans"/>
      <family val="2"/>
    </font>
    <font>
      <sz val="55"/>
      <name val="Times New Roman"/>
      <family val="2"/>
    </font>
    <font>
      <sz val="36"/>
      <name val="Times"/>
      <family val="1"/>
    </font>
    <font>
      <sz val="55"/>
      <color theme="1"/>
      <name val="細明體"/>
      <family val="3"/>
      <charset val="136"/>
    </font>
  </fonts>
  <fills count="27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00CCFF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8EDEC"/>
        <bgColor rgb="FF000000"/>
      </patternFill>
    </fill>
    <fill>
      <patternFill patternType="solid">
        <fgColor rgb="FFB7DEE8"/>
        <bgColor rgb="FFFFFFFF"/>
      </patternFill>
    </fill>
    <fill>
      <patternFill patternType="solid">
        <fgColor rgb="FFFDE9D9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medium">
        <color rgb="FFC00000"/>
      </bottom>
      <diagonal/>
    </border>
    <border>
      <left/>
      <right style="thin">
        <color indexed="64"/>
      </right>
      <top/>
      <bottom style="medium">
        <color rgb="FFC00000"/>
      </bottom>
      <diagonal/>
    </border>
    <border>
      <left style="medium">
        <color rgb="FFC00000"/>
      </left>
      <right style="thin">
        <color auto="1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thin">
        <color auto="1"/>
      </right>
      <top style="medium">
        <color rgb="FFC00000"/>
      </top>
      <bottom style="medium">
        <color rgb="FFC00000"/>
      </bottom>
      <diagonal/>
    </border>
    <border>
      <left style="thin">
        <color auto="1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0" fontId="21" fillId="0" borderId="0"/>
    <xf numFmtId="0" fontId="21" fillId="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610">
    <xf numFmtId="0" fontId="0" fillId="0" borderId="0" xfId="0">
      <alignment vertical="center"/>
    </xf>
    <xf numFmtId="0" fontId="3" fillId="5" borderId="0" xfId="1" applyFont="1" applyFill="1" applyAlignment="1">
      <alignment vertical="center" wrapText="1"/>
    </xf>
    <xf numFmtId="164" fontId="5" fillId="5" borderId="0" xfId="1" applyNumberFormat="1" applyFont="1" applyFill="1" applyAlignment="1">
      <alignment horizontal="left" vertical="center" wrapText="1"/>
    </xf>
    <xf numFmtId="164" fontId="3" fillId="5" borderId="0" xfId="1" applyNumberFormat="1" applyFont="1" applyFill="1" applyAlignment="1">
      <alignment horizontal="left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6" fillId="5" borderId="0" xfId="1" applyFont="1" applyFill="1" applyAlignment="1">
      <alignment vertical="center" wrapText="1"/>
    </xf>
    <xf numFmtId="0" fontId="6" fillId="5" borderId="2" xfId="1" applyFont="1" applyFill="1" applyBorder="1" applyAlignment="1">
      <alignment vertical="center" wrapText="1"/>
    </xf>
    <xf numFmtId="0" fontId="7" fillId="0" borderId="0" xfId="2" applyFont="1">
      <alignment vertical="center"/>
    </xf>
    <xf numFmtId="165" fontId="7" fillId="0" borderId="0" xfId="2" applyNumberFormat="1" applyFont="1">
      <alignment vertical="center"/>
    </xf>
    <xf numFmtId="0" fontId="3" fillId="6" borderId="3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7" borderId="6" xfId="1" applyFont="1" applyFill="1" applyBorder="1" applyAlignment="1">
      <alignment horizontal="center" vertical="center" wrapText="1"/>
    </xf>
    <xf numFmtId="14" fontId="3" fillId="6" borderId="0" xfId="1" applyNumberFormat="1" applyFont="1" applyFill="1" applyAlignment="1">
      <alignment horizontal="center" vertical="center" wrapText="1"/>
    </xf>
    <xf numFmtId="0" fontId="3" fillId="6" borderId="7" xfId="1" applyFont="1" applyFill="1" applyBorder="1" applyAlignment="1">
      <alignment horizontal="center" vertical="center" wrapText="1"/>
    </xf>
    <xf numFmtId="0" fontId="10" fillId="8" borderId="2" xfId="1" applyFont="1" applyFill="1" applyBorder="1" applyAlignment="1">
      <alignment horizontal="center" vertical="center" wrapText="1"/>
    </xf>
    <xf numFmtId="0" fontId="11" fillId="0" borderId="0" xfId="2" applyFont="1">
      <alignment vertical="center"/>
    </xf>
    <xf numFmtId="0" fontId="11" fillId="0" borderId="0" xfId="2" applyFont="1" applyAlignment="1">
      <alignment horizontal="right" vertical="center" wrapText="1"/>
    </xf>
    <xf numFmtId="0" fontId="11" fillId="0" borderId="8" xfId="2" applyFont="1" applyBorder="1">
      <alignment vertical="center"/>
    </xf>
    <xf numFmtId="0" fontId="12" fillId="0" borderId="9" xfId="1" applyFont="1" applyBorder="1" applyAlignment="1">
      <alignment horizontal="right" vertical="center" wrapText="1"/>
    </xf>
    <xf numFmtId="0" fontId="11" fillId="0" borderId="1" xfId="2" applyFont="1" applyBorder="1">
      <alignment vertical="center"/>
    </xf>
    <xf numFmtId="0" fontId="12" fillId="0" borderId="2" xfId="1" applyFont="1" applyBorder="1" applyAlignment="1">
      <alignment horizontal="right" vertical="center" wrapText="1"/>
    </xf>
    <xf numFmtId="0" fontId="11" fillId="0" borderId="0" xfId="2" applyFont="1" applyAlignment="1">
      <alignment horizontal="right" vertical="center"/>
    </xf>
    <xf numFmtId="20" fontId="10" fillId="9" borderId="8" xfId="1" applyNumberFormat="1" applyFont="1" applyFill="1" applyBorder="1" applyAlignment="1">
      <alignment horizontal="left" vertical="center" wrapText="1"/>
    </xf>
    <xf numFmtId="20" fontId="10" fillId="9" borderId="0" xfId="1" applyNumberFormat="1" applyFont="1" applyFill="1" applyAlignment="1">
      <alignment horizontal="left" vertical="center" wrapText="1"/>
    </xf>
    <xf numFmtId="0" fontId="10" fillId="9" borderId="10" xfId="1" applyFont="1" applyFill="1" applyBorder="1" applyAlignment="1">
      <alignment horizontal="left" vertical="center" wrapText="1"/>
    </xf>
    <xf numFmtId="0" fontId="14" fillId="9" borderId="10" xfId="1" applyFont="1" applyFill="1" applyBorder="1" applyAlignment="1">
      <alignment horizontal="left" vertical="center" wrapText="1"/>
    </xf>
    <xf numFmtId="0" fontId="15" fillId="8" borderId="0" xfId="1" applyFont="1" applyFill="1" applyAlignment="1">
      <alignment horizontal="center" vertical="center" wrapText="1"/>
    </xf>
    <xf numFmtId="0" fontId="12" fillId="9" borderId="0" xfId="1" applyFont="1" applyFill="1" applyAlignment="1">
      <alignment horizontal="right" vertical="center" wrapText="1"/>
    </xf>
    <xf numFmtId="0" fontId="16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9" borderId="1" xfId="1" applyFont="1" applyFill="1" applyBorder="1" applyAlignment="1">
      <alignment vertical="center" wrapText="1"/>
    </xf>
    <xf numFmtId="0" fontId="17" fillId="0" borderId="2" xfId="2" applyFont="1" applyBorder="1">
      <alignment vertical="center"/>
    </xf>
    <xf numFmtId="0" fontId="14" fillId="9" borderId="7" xfId="1" applyFont="1" applyFill="1" applyBorder="1" applyAlignment="1">
      <alignment horizontal="left" vertical="center" wrapText="1"/>
    </xf>
    <xf numFmtId="16" fontId="7" fillId="0" borderId="0" xfId="2" applyNumberFormat="1" applyFont="1">
      <alignment vertical="center"/>
    </xf>
    <xf numFmtId="0" fontId="14" fillId="8" borderId="0" xfId="1" applyFont="1" applyFill="1" applyAlignment="1">
      <alignment horizontal="center" vertical="center" wrapText="1"/>
    </xf>
    <xf numFmtId="0" fontId="18" fillId="0" borderId="1" xfId="1" applyFont="1" applyBorder="1" applyAlignment="1">
      <alignment horizontal="left" vertical="center" wrapText="1"/>
    </xf>
    <xf numFmtId="0" fontId="13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13" fillId="0" borderId="0" xfId="2" applyFont="1" applyAlignment="1">
      <alignment horizontal="left" vertical="center"/>
    </xf>
    <xf numFmtId="0" fontId="14" fillId="9" borderId="2" xfId="1" applyFont="1" applyFill="1" applyBorder="1" applyAlignment="1">
      <alignment horizontal="left" vertical="center" wrapText="1"/>
    </xf>
    <xf numFmtId="0" fontId="7" fillId="0" borderId="1" xfId="2" applyFont="1" applyBorder="1">
      <alignment vertical="center"/>
    </xf>
    <xf numFmtId="0" fontId="19" fillId="10" borderId="1" xfId="0" applyFont="1" applyFill="1" applyBorder="1" applyAlignment="1">
      <alignment vertical="top" wrapText="1"/>
    </xf>
    <xf numFmtId="0" fontId="20" fillId="0" borderId="0" xfId="0" applyFont="1" applyAlignment="1">
      <alignment vertical="top"/>
    </xf>
    <xf numFmtId="0" fontId="17" fillId="0" borderId="0" xfId="2" applyFont="1">
      <alignment vertical="center"/>
    </xf>
    <xf numFmtId="0" fontId="17" fillId="0" borderId="0" xfId="2" applyFont="1" applyAlignment="1">
      <alignment horizontal="left" vertical="center"/>
    </xf>
    <xf numFmtId="0" fontId="14" fillId="8" borderId="2" xfId="1" applyFont="1" applyFill="1" applyBorder="1" applyAlignment="1">
      <alignment horizontal="center" vertical="center" wrapText="1"/>
    </xf>
    <xf numFmtId="0" fontId="11" fillId="0" borderId="2" xfId="2" applyFont="1" applyBorder="1" applyAlignment="1">
      <alignment horizontal="right" vertical="center"/>
    </xf>
    <xf numFmtId="0" fontId="11" fillId="0" borderId="2" xfId="2" applyFont="1" applyBorder="1" applyAlignment="1">
      <alignment horizontal="right" vertical="center" wrapText="1"/>
    </xf>
    <xf numFmtId="165" fontId="11" fillId="0" borderId="1" xfId="2" applyNumberFormat="1" applyFont="1" applyBorder="1" applyAlignment="1">
      <alignment horizontal="left" vertical="center"/>
    </xf>
    <xf numFmtId="0" fontId="10" fillId="11" borderId="0" xfId="1" applyFont="1" applyFill="1" applyAlignment="1">
      <alignment horizontal="left" vertical="center" wrapText="1"/>
    </xf>
    <xf numFmtId="0" fontId="11" fillId="0" borderId="1" xfId="2" applyFont="1" applyBorder="1" applyAlignment="1">
      <alignment vertical="center" wrapText="1"/>
    </xf>
    <xf numFmtId="0" fontId="12" fillId="0" borderId="2" xfId="1" applyFont="1" applyBorder="1" applyAlignment="1">
      <alignment horizontal="left" vertical="center" wrapText="1"/>
    </xf>
    <xf numFmtId="20" fontId="10" fillId="9" borderId="1" xfId="1" applyNumberFormat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center" wrapText="1"/>
    </xf>
    <xf numFmtId="0" fontId="12" fillId="12" borderId="2" xfId="1" applyFont="1" applyFill="1" applyBorder="1" applyAlignment="1">
      <alignment horizontal="right" vertical="center" wrapText="1"/>
    </xf>
    <xf numFmtId="0" fontId="12" fillId="9" borderId="1" xfId="1" applyFont="1" applyFill="1" applyBorder="1" applyAlignment="1">
      <alignment horizontal="right" vertical="center" wrapText="1"/>
    </xf>
    <xf numFmtId="0" fontId="12" fillId="12" borderId="0" xfId="1" applyFont="1" applyFill="1" applyAlignment="1">
      <alignment horizontal="right" vertical="center" wrapText="1"/>
    </xf>
    <xf numFmtId="0" fontId="12" fillId="9" borderId="1" xfId="3" applyFont="1" applyFill="1" applyBorder="1" applyAlignment="1">
      <alignment horizontal="right" vertical="center" wrapText="1"/>
    </xf>
    <xf numFmtId="0" fontId="12" fillId="11" borderId="0" xfId="1" applyFont="1" applyFill="1" applyAlignment="1">
      <alignment horizontal="right" vertical="center" wrapText="1"/>
    </xf>
    <xf numFmtId="0" fontId="12" fillId="13" borderId="2" xfId="1" applyFont="1" applyFill="1" applyBorder="1" applyAlignment="1">
      <alignment horizontal="right" vertical="center" wrapText="1"/>
    </xf>
    <xf numFmtId="0" fontId="10" fillId="11" borderId="0" xfId="2" applyFont="1" applyFill="1">
      <alignment vertical="center"/>
    </xf>
    <xf numFmtId="0" fontId="10" fillId="11" borderId="0" xfId="1" applyFont="1" applyFill="1" applyAlignment="1">
      <alignment horizontal="right" vertical="center" wrapText="1"/>
    </xf>
    <xf numFmtId="0" fontId="14" fillId="9" borderId="1" xfId="1" applyFont="1" applyFill="1" applyBorder="1" applyAlignment="1">
      <alignment horizontal="left" vertical="center" wrapText="1"/>
    </xf>
    <xf numFmtId="0" fontId="22" fillId="11" borderId="1" xfId="1" applyFont="1" applyFill="1" applyBorder="1" applyAlignment="1">
      <alignment horizontal="center" vertical="center" wrapText="1"/>
    </xf>
    <xf numFmtId="0" fontId="22" fillId="11" borderId="2" xfId="1" applyFont="1" applyFill="1" applyBorder="1" applyAlignment="1">
      <alignment horizontal="right" vertical="center" wrapText="1"/>
    </xf>
    <xf numFmtId="0" fontId="12" fillId="11" borderId="1" xfId="1" applyFont="1" applyFill="1" applyBorder="1" applyAlignment="1">
      <alignment horizontal="right" vertical="center" wrapText="1"/>
    </xf>
    <xf numFmtId="0" fontId="11" fillId="11" borderId="1" xfId="2" applyFont="1" applyFill="1" applyBorder="1">
      <alignment vertical="center"/>
    </xf>
    <xf numFmtId="0" fontId="12" fillId="9" borderId="0" xfId="1" applyFont="1" applyFill="1" applyAlignment="1">
      <alignment horizontal="left" vertical="center" wrapText="1"/>
    </xf>
    <xf numFmtId="0" fontId="12" fillId="11" borderId="1" xfId="3" applyFont="1" applyFill="1" applyBorder="1" applyAlignment="1">
      <alignment horizontal="right" vertical="center" wrapText="1"/>
    </xf>
    <xf numFmtId="0" fontId="12" fillId="11" borderId="2" xfId="1" applyFont="1" applyFill="1" applyBorder="1" applyAlignment="1">
      <alignment horizontal="right" vertical="center" wrapText="1"/>
    </xf>
    <xf numFmtId="0" fontId="22" fillId="11" borderId="0" xfId="1" applyFont="1" applyFill="1" applyAlignment="1">
      <alignment horizontal="center" vertical="center" wrapText="1"/>
    </xf>
    <xf numFmtId="0" fontId="22" fillId="11" borderId="2" xfId="1" applyFont="1" applyFill="1" applyBorder="1" applyAlignment="1">
      <alignment horizontal="center" vertical="center"/>
    </xf>
    <xf numFmtId="165" fontId="17" fillId="0" borderId="0" xfId="2" applyNumberFormat="1" applyFont="1" applyAlignment="1">
      <alignment horizontal="right" vertical="center"/>
    </xf>
    <xf numFmtId="0" fontId="10" fillId="0" borderId="0" xfId="1" applyFont="1" applyAlignment="1">
      <alignment horizontal="right" vertical="center" wrapText="1"/>
    </xf>
    <xf numFmtId="0" fontId="23" fillId="8" borderId="11" xfId="1" applyFont="1" applyFill="1" applyBorder="1" applyAlignment="1">
      <alignment horizontal="right" vertical="center" wrapText="1"/>
    </xf>
    <xf numFmtId="0" fontId="22" fillId="9" borderId="1" xfId="1" applyFont="1" applyFill="1" applyBorder="1" applyAlignment="1">
      <alignment horizontal="center" vertical="center" wrapText="1"/>
    </xf>
    <xf numFmtId="0" fontId="22" fillId="9" borderId="2" xfId="1" applyFont="1" applyFill="1" applyBorder="1" applyAlignment="1">
      <alignment horizontal="right" vertical="center" wrapText="1"/>
    </xf>
    <xf numFmtId="0" fontId="11" fillId="11" borderId="4" xfId="2" applyFont="1" applyFill="1" applyBorder="1" applyAlignment="1">
      <alignment vertical="center" wrapText="1"/>
    </xf>
    <xf numFmtId="0" fontId="11" fillId="11" borderId="2" xfId="2" applyFont="1" applyFill="1" applyBorder="1" applyAlignment="1">
      <alignment horizontal="right" vertical="center"/>
    </xf>
    <xf numFmtId="0" fontId="22" fillId="9" borderId="4" xfId="1" applyFont="1" applyFill="1" applyBorder="1" applyAlignment="1">
      <alignment horizontal="left" vertical="center" wrapText="1"/>
    </xf>
    <xf numFmtId="0" fontId="22" fillId="9" borderId="0" xfId="1" applyFont="1" applyFill="1" applyAlignment="1">
      <alignment horizontal="right" vertical="center" wrapText="1"/>
    </xf>
    <xf numFmtId="0" fontId="22" fillId="0" borderId="1" xfId="1" applyFont="1" applyBorder="1" applyAlignment="1">
      <alignment horizontal="left" vertical="center" wrapText="1"/>
    </xf>
    <xf numFmtId="0" fontId="22" fillId="0" borderId="2" xfId="1" applyFont="1" applyBorder="1" applyAlignment="1">
      <alignment horizontal="right" vertical="center" wrapText="1"/>
    </xf>
    <xf numFmtId="0" fontId="22" fillId="0" borderId="2" xfId="2" applyFont="1" applyBorder="1">
      <alignment vertical="center"/>
    </xf>
    <xf numFmtId="0" fontId="22" fillId="0" borderId="2" xfId="1" applyFont="1" applyBorder="1" applyAlignment="1">
      <alignment vertical="center" wrapText="1"/>
    </xf>
    <xf numFmtId="0" fontId="22" fillId="9" borderId="1" xfId="1" applyFont="1" applyFill="1" applyBorder="1" applyAlignment="1">
      <alignment horizontal="left" vertical="center" wrapText="1"/>
    </xf>
    <xf numFmtId="0" fontId="24" fillId="14" borderId="0" xfId="1" applyFont="1" applyFill="1" applyAlignment="1">
      <alignment horizontal="left" vertical="center" wrapText="1"/>
    </xf>
    <xf numFmtId="0" fontId="10" fillId="0" borderId="0" xfId="2" applyFont="1" applyAlignment="1">
      <alignment vertical="center" wrapText="1"/>
    </xf>
    <xf numFmtId="0" fontId="14" fillId="9" borderId="12" xfId="1" applyFont="1" applyFill="1" applyBorder="1" applyAlignment="1">
      <alignment horizontal="left" vertical="center" wrapText="1"/>
    </xf>
    <xf numFmtId="165" fontId="7" fillId="0" borderId="1" xfId="2" applyNumberFormat="1" applyFont="1" applyBorder="1" applyAlignment="1">
      <alignment horizontal="left" vertical="center"/>
    </xf>
    <xf numFmtId="0" fontId="10" fillId="8" borderId="0" xfId="1" applyFont="1" applyFill="1" applyAlignment="1">
      <alignment horizontal="center" vertical="center" wrapText="1"/>
    </xf>
    <xf numFmtId="0" fontId="25" fillId="0" borderId="8" xfId="1" applyFont="1" applyBorder="1" applyAlignment="1">
      <alignment horizontal="left" vertical="center" wrapText="1"/>
    </xf>
    <xf numFmtId="0" fontId="11" fillId="0" borderId="13" xfId="2" applyFont="1" applyBorder="1" applyAlignment="1">
      <alignment vertical="center" wrapText="1"/>
    </xf>
    <xf numFmtId="0" fontId="25" fillId="0" borderId="1" xfId="1" applyFont="1" applyBorder="1" applyAlignment="1">
      <alignment horizontal="left" vertical="center" wrapText="1"/>
    </xf>
    <xf numFmtId="0" fontId="11" fillId="0" borderId="9" xfId="2" applyFont="1" applyBorder="1" applyAlignment="1">
      <alignment vertical="center" wrapText="1"/>
    </xf>
    <xf numFmtId="0" fontId="10" fillId="0" borderId="0" xfId="0" applyFont="1">
      <alignment vertical="center"/>
    </xf>
    <xf numFmtId="20" fontId="26" fillId="9" borderId="14" xfId="1" applyNumberFormat="1" applyFont="1" applyFill="1" applyBorder="1" applyAlignment="1">
      <alignment horizontal="left" vertical="center" wrapText="1"/>
    </xf>
    <xf numFmtId="0" fontId="27" fillId="9" borderId="15" xfId="1" applyFont="1" applyFill="1" applyBorder="1" applyAlignment="1">
      <alignment horizontal="left" vertical="center" wrapText="1"/>
    </xf>
    <xf numFmtId="165" fontId="28" fillId="0" borderId="0" xfId="2" applyNumberFormat="1" applyFont="1">
      <alignment vertical="center"/>
    </xf>
    <xf numFmtId="165" fontId="7" fillId="11" borderId="1" xfId="2" applyNumberFormat="1" applyFont="1" applyFill="1" applyBorder="1" applyAlignment="1">
      <alignment horizontal="left" vertical="center"/>
    </xf>
    <xf numFmtId="0" fontId="29" fillId="0" borderId="1" xfId="2" applyFont="1" applyBorder="1">
      <alignment vertical="center"/>
    </xf>
    <xf numFmtId="0" fontId="11" fillId="0" borderId="0" xfId="2" applyFont="1" applyAlignment="1">
      <alignment vertical="center" wrapText="1"/>
    </xf>
    <xf numFmtId="0" fontId="30" fillId="0" borderId="1" xfId="2" applyFont="1" applyBorder="1">
      <alignment vertical="center"/>
    </xf>
    <xf numFmtId="0" fontId="24" fillId="14" borderId="1" xfId="1" applyFont="1" applyFill="1" applyBorder="1" applyAlignment="1">
      <alignment horizontal="left" vertical="center" wrapText="1"/>
    </xf>
    <xf numFmtId="20" fontId="10" fillId="0" borderId="1" xfId="1" applyNumberFormat="1" applyFont="1" applyBorder="1" applyAlignment="1">
      <alignment horizontal="left" vertical="center" wrapText="1"/>
    </xf>
    <xf numFmtId="0" fontId="31" fillId="9" borderId="2" xfId="1" applyFont="1" applyFill="1" applyBorder="1" applyAlignment="1">
      <alignment horizontal="left" vertical="center" wrapText="1"/>
    </xf>
    <xf numFmtId="0" fontId="7" fillId="0" borderId="0" xfId="2" applyFont="1" applyAlignment="1">
      <alignment vertical="center" wrapText="1"/>
    </xf>
    <xf numFmtId="165" fontId="32" fillId="0" borderId="0" xfId="1" applyNumberFormat="1" applyFont="1" applyAlignment="1">
      <alignment horizontal="right" vertical="center"/>
    </xf>
    <xf numFmtId="165" fontId="7" fillId="0" borderId="0" xfId="1" applyNumberFormat="1" applyFont="1" applyAlignment="1">
      <alignment vertical="center"/>
    </xf>
    <xf numFmtId="0" fontId="32" fillId="0" borderId="0" xfId="2" applyFont="1">
      <alignment vertical="center"/>
    </xf>
    <xf numFmtId="0" fontId="31" fillId="0" borderId="1" xfId="1" applyFont="1" applyBorder="1" applyAlignment="1">
      <alignment vertical="center" wrapText="1"/>
    </xf>
    <xf numFmtId="20" fontId="14" fillId="9" borderId="2" xfId="1" applyNumberFormat="1" applyFont="1" applyFill="1" applyBorder="1" applyAlignment="1">
      <alignment horizontal="left" vertical="center" wrapText="1"/>
    </xf>
    <xf numFmtId="165" fontId="7" fillId="11" borderId="0" xfId="2" applyNumberFormat="1" applyFont="1" applyFill="1">
      <alignment vertical="center"/>
    </xf>
    <xf numFmtId="165" fontId="32" fillId="0" borderId="0" xfId="1" applyNumberFormat="1" applyFont="1"/>
    <xf numFmtId="165" fontId="32" fillId="0" borderId="0" xfId="1" quotePrefix="1" applyNumberFormat="1" applyFont="1" applyAlignment="1">
      <alignment horizontal="right"/>
    </xf>
    <xf numFmtId="165" fontId="7" fillId="0" borderId="0" xfId="1" applyNumberFormat="1" applyFont="1" applyAlignment="1">
      <alignment vertical="center" wrapText="1"/>
    </xf>
    <xf numFmtId="0" fontId="14" fillId="0" borderId="1" xfId="1" applyFont="1" applyBorder="1" applyAlignment="1">
      <alignment vertical="center" wrapText="1"/>
    </xf>
    <xf numFmtId="20" fontId="10" fillId="9" borderId="2" xfId="1" applyNumberFormat="1" applyFont="1" applyFill="1" applyBorder="1" applyAlignment="1">
      <alignment horizontal="left" vertical="center" wrapText="1"/>
    </xf>
    <xf numFmtId="0" fontId="14" fillId="8" borderId="0" xfId="1" applyFont="1" applyFill="1" applyAlignment="1">
      <alignment horizontal="right" vertical="center" wrapText="1"/>
    </xf>
    <xf numFmtId="0" fontId="33" fillId="0" borderId="1" xfId="1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49" fontId="22" fillId="0" borderId="0" xfId="1" applyNumberFormat="1" applyFont="1" applyAlignment="1">
      <alignment horizontal="left" vertical="center" wrapText="1"/>
    </xf>
    <xf numFmtId="0" fontId="24" fillId="0" borderId="1" xfId="1" applyFont="1" applyBorder="1" applyAlignment="1">
      <alignment horizontal="left" vertical="center" wrapText="1"/>
    </xf>
    <xf numFmtId="0" fontId="7" fillId="0" borderId="1" xfId="2" applyFont="1" applyBorder="1" applyAlignment="1">
      <alignment horizontal="right" vertical="center"/>
    </xf>
    <xf numFmtId="0" fontId="7" fillId="0" borderId="0" xfId="2" applyFont="1" applyAlignment="1">
      <alignment horizontal="right" vertical="center"/>
    </xf>
    <xf numFmtId="0" fontId="24" fillId="14" borderId="16" xfId="1" applyFont="1" applyFill="1" applyBorder="1" applyAlignment="1">
      <alignment horizontal="left" vertical="center" wrapText="1"/>
    </xf>
    <xf numFmtId="0" fontId="27" fillId="0" borderId="1" xfId="1" applyFont="1" applyBorder="1" applyAlignment="1">
      <alignment horizontal="left" vertical="center" wrapText="1"/>
    </xf>
    <xf numFmtId="20" fontId="14" fillId="9" borderId="2" xfId="1" applyNumberFormat="1" applyFont="1" applyFill="1" applyBorder="1" applyAlignment="1">
      <alignment horizontal="right" vertical="center" wrapText="1"/>
    </xf>
    <xf numFmtId="0" fontId="14" fillId="9" borderId="7" xfId="1" applyFont="1" applyFill="1" applyBorder="1" applyAlignment="1">
      <alignment horizontal="right" vertical="center" wrapText="1"/>
    </xf>
    <xf numFmtId="0" fontId="34" fillId="0" borderId="0" xfId="2" applyFont="1">
      <alignment vertical="center"/>
    </xf>
    <xf numFmtId="165" fontId="7" fillId="0" borderId="0" xfId="2" applyNumberFormat="1" applyFont="1" applyAlignment="1">
      <alignment horizontal="right" vertical="center"/>
    </xf>
    <xf numFmtId="0" fontId="12" fillId="11" borderId="1" xfId="1" applyFont="1" applyFill="1" applyBorder="1" applyAlignment="1">
      <alignment horizontal="left" vertical="center" wrapText="1"/>
    </xf>
    <xf numFmtId="0" fontId="35" fillId="11" borderId="2" xfId="1" applyFont="1" applyFill="1" applyBorder="1" applyAlignment="1">
      <alignment horizontal="right" vertical="center" wrapText="1"/>
    </xf>
    <xf numFmtId="49" fontId="22" fillId="0" borderId="0" xfId="1" applyNumberFormat="1" applyFont="1" applyAlignment="1">
      <alignment vertical="center" wrapText="1"/>
    </xf>
    <xf numFmtId="0" fontId="22" fillId="0" borderId="0" xfId="2" applyFont="1">
      <alignment vertical="center"/>
    </xf>
    <xf numFmtId="0" fontId="22" fillId="0" borderId="1" xfId="2" applyFont="1" applyBorder="1" applyAlignment="1">
      <alignment vertical="center" wrapText="1"/>
    </xf>
    <xf numFmtId="0" fontId="22" fillId="0" borderId="2" xfId="1" quotePrefix="1" applyFont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 wrapText="1"/>
    </xf>
    <xf numFmtId="165" fontId="34" fillId="11" borderId="1" xfId="2" applyNumberFormat="1" applyFont="1" applyFill="1" applyBorder="1" applyAlignment="1">
      <alignment horizontal="left" vertical="center"/>
    </xf>
    <xf numFmtId="0" fontId="32" fillId="0" borderId="0" xfId="1" applyFont="1" applyAlignment="1">
      <alignment horizontal="left" vertical="center"/>
    </xf>
    <xf numFmtId="165" fontId="7" fillId="0" borderId="0" xfId="1" applyNumberFormat="1" applyFont="1"/>
    <xf numFmtId="0" fontId="14" fillId="8" borderId="20" xfId="1" applyFont="1" applyFill="1" applyBorder="1" applyAlignment="1">
      <alignment horizontal="center" vertical="center" wrapText="1"/>
    </xf>
    <xf numFmtId="2" fontId="12" fillId="0" borderId="21" xfId="1" applyNumberFormat="1" applyFont="1" applyBorder="1" applyAlignment="1">
      <alignment horizontal="left" vertical="center" wrapText="1"/>
    </xf>
    <xf numFmtId="2" fontId="12" fillId="0" borderId="11" xfId="1" applyNumberFormat="1" applyFont="1" applyBorder="1" applyAlignment="1">
      <alignment horizontal="left" vertical="center" wrapText="1"/>
    </xf>
    <xf numFmtId="2" fontId="12" fillId="0" borderId="20" xfId="1" applyNumberFormat="1" applyFont="1" applyBorder="1" applyAlignment="1">
      <alignment horizontal="left" vertical="center" wrapText="1"/>
    </xf>
    <xf numFmtId="2" fontId="12" fillId="11" borderId="21" xfId="1" applyNumberFormat="1" applyFont="1" applyFill="1" applyBorder="1" applyAlignment="1">
      <alignment horizontal="left" vertical="center" wrapText="1"/>
    </xf>
    <xf numFmtId="166" fontId="11" fillId="0" borderId="21" xfId="2" applyNumberFormat="1" applyFont="1" applyBorder="1" applyAlignment="1">
      <alignment horizontal="left" vertical="center" wrapText="1"/>
    </xf>
    <xf numFmtId="20" fontId="10" fillId="0" borderId="21" xfId="1" applyNumberFormat="1" applyFont="1" applyBorder="1" applyAlignment="1">
      <alignment horizontal="left" vertical="center" wrapText="1"/>
    </xf>
    <xf numFmtId="20" fontId="14" fillId="9" borderId="11" xfId="1" applyNumberFormat="1" applyFont="1" applyFill="1" applyBorder="1" applyAlignment="1">
      <alignment horizontal="left" vertical="center" wrapText="1"/>
    </xf>
    <xf numFmtId="165" fontId="37" fillId="0" borderId="1" xfId="2" applyNumberFormat="1" applyFont="1" applyBorder="1" applyAlignment="1">
      <alignment horizontal="left" vertical="center"/>
    </xf>
    <xf numFmtId="0" fontId="32" fillId="0" borderId="0" xfId="2" applyFont="1" applyAlignment="1">
      <alignment horizontal="left" vertical="center"/>
    </xf>
    <xf numFmtId="165" fontId="32" fillId="0" borderId="0" xfId="1" applyNumberFormat="1" applyFont="1" applyAlignment="1">
      <alignment horizontal="right"/>
    </xf>
    <xf numFmtId="2" fontId="12" fillId="0" borderId="0" xfId="1" applyNumberFormat="1" applyFont="1" applyAlignment="1">
      <alignment horizontal="left" vertical="center" wrapText="1"/>
    </xf>
    <xf numFmtId="0" fontId="11" fillId="11" borderId="1" xfId="2" applyFont="1" applyFill="1" applyBorder="1" applyAlignment="1">
      <alignment vertical="center" wrapText="1"/>
    </xf>
    <xf numFmtId="2" fontId="12" fillId="11" borderId="0" xfId="1" applyNumberFormat="1" applyFont="1" applyFill="1" applyAlignment="1">
      <alignment horizontal="left" vertical="center" wrapText="1"/>
    </xf>
    <xf numFmtId="20" fontId="38" fillId="0" borderId="1" xfId="1" applyNumberFormat="1" applyFont="1" applyBorder="1" applyAlignment="1">
      <alignment horizontal="left" vertical="center" wrapText="1"/>
    </xf>
    <xf numFmtId="0" fontId="14" fillId="9" borderId="0" xfId="1" applyFont="1" applyFill="1" applyAlignment="1">
      <alignment horizontal="left" vertical="center" wrapText="1"/>
    </xf>
    <xf numFmtId="0" fontId="36" fillId="0" borderId="1" xfId="4" applyFont="1" applyFill="1" applyBorder="1" applyAlignment="1">
      <alignment horizontal="left" vertical="center" wrapText="1"/>
    </xf>
    <xf numFmtId="0" fontId="36" fillId="0" borderId="16" xfId="4" applyFont="1" applyFill="1" applyBorder="1" applyAlignment="1">
      <alignment horizontal="left" vertical="center" wrapText="1"/>
    </xf>
    <xf numFmtId="0" fontId="36" fillId="0" borderId="23" xfId="4" applyFont="1" applyFill="1" applyBorder="1" applyAlignment="1">
      <alignment horizontal="left" vertical="center" wrapText="1"/>
    </xf>
    <xf numFmtId="165" fontId="12" fillId="0" borderId="1" xfId="2" applyNumberFormat="1" applyFont="1" applyBorder="1" applyAlignment="1">
      <alignment horizontal="left" vertical="center"/>
    </xf>
    <xf numFmtId="2" fontId="12" fillId="11" borderId="2" xfId="1" applyNumberFormat="1" applyFont="1" applyFill="1" applyBorder="1" applyAlignment="1">
      <alignment horizontal="left" vertical="center" wrapText="1"/>
    </xf>
    <xf numFmtId="0" fontId="36" fillId="9" borderId="1" xfId="4" applyFont="1" applyFill="1" applyBorder="1" applyAlignment="1">
      <alignment horizontal="center" vertical="center" wrapText="1"/>
    </xf>
    <xf numFmtId="49" fontId="12" fillId="11" borderId="0" xfId="1" applyNumberFormat="1" applyFont="1" applyFill="1" applyAlignment="1">
      <alignment horizontal="left" vertical="center" wrapText="1"/>
    </xf>
    <xf numFmtId="167" fontId="11" fillId="11" borderId="1" xfId="2" applyNumberFormat="1" applyFont="1" applyFill="1" applyBorder="1" applyAlignment="1">
      <alignment horizontal="left" vertical="center" wrapText="1"/>
    </xf>
    <xf numFmtId="167" fontId="11" fillId="0" borderId="0" xfId="2" applyNumberFormat="1" applyFont="1" applyAlignment="1">
      <alignment horizontal="center" vertical="center" wrapText="1"/>
    </xf>
    <xf numFmtId="2" fontId="12" fillId="0" borderId="0" xfId="1" applyNumberFormat="1" applyFont="1" applyAlignment="1">
      <alignment vertical="center" wrapText="1"/>
    </xf>
    <xf numFmtId="2" fontId="12" fillId="0" borderId="1" xfId="1" applyNumberFormat="1" applyFont="1" applyBorder="1" applyAlignment="1">
      <alignment vertical="center" wrapText="1"/>
    </xf>
    <xf numFmtId="49" fontId="12" fillId="0" borderId="1" xfId="1" applyNumberFormat="1" applyFont="1" applyBorder="1" applyAlignment="1">
      <alignment vertical="center" wrapText="1"/>
    </xf>
    <xf numFmtId="49" fontId="12" fillId="0" borderId="0" xfId="1" applyNumberFormat="1" applyFont="1" applyAlignment="1">
      <alignment vertical="center" wrapText="1"/>
    </xf>
    <xf numFmtId="0" fontId="12" fillId="11" borderId="1" xfId="2" applyFont="1" applyFill="1" applyBorder="1" applyAlignment="1">
      <alignment horizontal="left" vertical="center" wrapText="1"/>
    </xf>
    <xf numFmtId="0" fontId="11" fillId="11" borderId="2" xfId="2" applyFont="1" applyFill="1" applyBorder="1" applyAlignment="1">
      <alignment vertical="center" wrapText="1"/>
    </xf>
    <xf numFmtId="20" fontId="10" fillId="0" borderId="2" xfId="1" applyNumberFormat="1" applyFont="1" applyBorder="1" applyAlignment="1">
      <alignment horizontal="left" vertical="center" wrapText="1"/>
    </xf>
    <xf numFmtId="0" fontId="10" fillId="9" borderId="0" xfId="1" applyFont="1" applyFill="1" applyAlignment="1">
      <alignment horizontal="left" vertical="center" wrapText="1"/>
    </xf>
    <xf numFmtId="0" fontId="10" fillId="9" borderId="7" xfId="1" applyFont="1" applyFill="1" applyBorder="1" applyAlignment="1">
      <alignment horizontal="left" vertical="center" wrapText="1"/>
    </xf>
    <xf numFmtId="0" fontId="37" fillId="11" borderId="1" xfId="2" applyFont="1" applyFill="1" applyBorder="1" applyAlignment="1">
      <alignment horizontal="left" vertical="center"/>
    </xf>
    <xf numFmtId="0" fontId="11" fillId="0" borderId="0" xfId="2" applyFont="1" applyAlignment="1">
      <alignment horizontal="center" vertical="center" wrapText="1"/>
    </xf>
    <xf numFmtId="0" fontId="11" fillId="0" borderId="1" xfId="2" applyFont="1" applyBorder="1" applyAlignment="1">
      <alignment horizontal="left" vertical="center" wrapText="1"/>
    </xf>
    <xf numFmtId="2" fontId="12" fillId="0" borderId="1" xfId="1" applyNumberFormat="1" applyFont="1" applyBorder="1" applyAlignment="1">
      <alignment horizontal="left" vertical="center" wrapText="1"/>
    </xf>
    <xf numFmtId="0" fontId="11" fillId="11" borderId="0" xfId="2" applyFont="1" applyFill="1" applyAlignment="1">
      <alignment vertical="center" wrapText="1"/>
    </xf>
    <xf numFmtId="167" fontId="11" fillId="11" borderId="1" xfId="2" applyNumberFormat="1" applyFont="1" applyFill="1" applyBorder="1" applyAlignment="1">
      <alignment vertical="center" wrapText="1"/>
    </xf>
    <xf numFmtId="167" fontId="11" fillId="11" borderId="0" xfId="2" applyNumberFormat="1" applyFont="1" applyFill="1" applyAlignment="1">
      <alignment vertical="center" wrapText="1"/>
    </xf>
    <xf numFmtId="0" fontId="14" fillId="10" borderId="0" xfId="0" applyFont="1" applyFill="1" applyAlignment="1">
      <alignment vertical="top"/>
    </xf>
    <xf numFmtId="0" fontId="17" fillId="0" borderId="0" xfId="2" applyFont="1" applyAlignment="1">
      <alignment vertical="center" wrapText="1"/>
    </xf>
    <xf numFmtId="49" fontId="17" fillId="0" borderId="0" xfId="2" applyNumberFormat="1" applyFont="1" applyAlignment="1">
      <alignment horizontal="left" vertical="center" wrapText="1"/>
    </xf>
    <xf numFmtId="165" fontId="34" fillId="0" borderId="1" xfId="2" applyNumberFormat="1" applyFont="1" applyBorder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11" fillId="0" borderId="2" xfId="2" applyFont="1" applyBorder="1" applyAlignment="1">
      <alignment vertical="center" wrapText="1"/>
    </xf>
    <xf numFmtId="0" fontId="10" fillId="0" borderId="0" xfId="2" applyFont="1" applyAlignment="1">
      <alignment horizontal="left" vertical="center" wrapText="1"/>
    </xf>
    <xf numFmtId="167" fontId="11" fillId="11" borderId="0" xfId="2" quotePrefix="1" applyNumberFormat="1" applyFont="1" applyFill="1" applyAlignment="1">
      <alignment horizontal="center" vertical="center" wrapText="1"/>
    </xf>
    <xf numFmtId="0" fontId="12" fillId="0" borderId="1" xfId="2" applyFont="1" applyBorder="1" applyAlignment="1">
      <alignment horizontal="left" vertical="center" wrapText="1"/>
    </xf>
    <xf numFmtId="0" fontId="11" fillId="0" borderId="2" xfId="2" applyFont="1" applyBorder="1">
      <alignment vertical="center"/>
    </xf>
    <xf numFmtId="20" fontId="32" fillId="0" borderId="1" xfId="1" applyNumberFormat="1" applyFont="1" applyBorder="1" applyAlignment="1">
      <alignment horizontal="left" vertical="center" wrapText="1"/>
    </xf>
    <xf numFmtId="20" fontId="32" fillId="0" borderId="2" xfId="1" applyNumberFormat="1" applyFont="1" applyBorder="1" applyAlignment="1">
      <alignment horizontal="left" vertical="center" wrapText="1"/>
    </xf>
    <xf numFmtId="0" fontId="32" fillId="9" borderId="0" xfId="1" applyFont="1" applyFill="1" applyAlignment="1">
      <alignment horizontal="left" vertical="center" wrapText="1"/>
    </xf>
    <xf numFmtId="0" fontId="32" fillId="9" borderId="7" xfId="1" applyFont="1" applyFill="1" applyBorder="1" applyAlignment="1">
      <alignment horizontal="left" vertical="center" wrapText="1"/>
    </xf>
    <xf numFmtId="165" fontId="34" fillId="0" borderId="1" xfId="1" applyNumberFormat="1" applyFont="1" applyBorder="1" applyAlignment="1">
      <alignment horizontal="left" vertical="center" wrapText="1"/>
    </xf>
    <xf numFmtId="49" fontId="11" fillId="0" borderId="0" xfId="2" applyNumberFormat="1" applyFont="1" applyAlignment="1">
      <alignment vertical="center" wrapText="1"/>
    </xf>
    <xf numFmtId="0" fontId="11" fillId="0" borderId="1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 wrapText="1"/>
    </xf>
    <xf numFmtId="0" fontId="7" fillId="9" borderId="1" xfId="1" applyFont="1" applyFill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 wrapText="1"/>
    </xf>
    <xf numFmtId="0" fontId="42" fillId="0" borderId="1" xfId="1" applyFont="1" applyBorder="1" applyAlignment="1">
      <alignment vertical="center" wrapText="1"/>
    </xf>
    <xf numFmtId="165" fontId="11" fillId="11" borderId="1" xfId="2" applyNumberFormat="1" applyFont="1" applyFill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42" fillId="0" borderId="1" xfId="1" applyFont="1" applyBorder="1" applyAlignment="1">
      <alignment horizontal="left" vertical="center" wrapText="1"/>
    </xf>
    <xf numFmtId="0" fontId="32" fillId="9" borderId="1" xfId="1" applyFont="1" applyFill="1" applyBorder="1" applyAlignment="1">
      <alignment horizontal="left" vertical="center" wrapText="1"/>
    </xf>
    <xf numFmtId="165" fontId="43" fillId="0" borderId="1" xfId="2" applyNumberFormat="1" applyFont="1" applyBorder="1" applyAlignment="1">
      <alignment horizontal="left" vertical="center"/>
    </xf>
    <xf numFmtId="0" fontId="10" fillId="8" borderId="20" xfId="1" applyFont="1" applyFill="1" applyBorder="1" applyAlignment="1">
      <alignment horizontal="left" vertical="center" wrapText="1"/>
    </xf>
    <xf numFmtId="166" fontId="12" fillId="0" borderId="21" xfId="1" applyNumberFormat="1" applyFont="1" applyBorder="1" applyAlignment="1">
      <alignment horizontal="left" vertical="center" wrapText="1"/>
    </xf>
    <xf numFmtId="166" fontId="12" fillId="0" borderId="11" xfId="1" applyNumberFormat="1" applyFont="1" applyBorder="1" applyAlignment="1">
      <alignment horizontal="left" vertical="center" wrapText="1"/>
    </xf>
    <xf numFmtId="166" fontId="12" fillId="0" borderId="21" xfId="2" applyNumberFormat="1" applyFont="1" applyBorder="1" applyAlignment="1">
      <alignment horizontal="left"/>
    </xf>
    <xf numFmtId="166" fontId="12" fillId="0" borderId="11" xfId="2" applyNumberFormat="1" applyFont="1" applyBorder="1" applyAlignment="1">
      <alignment horizontal="left"/>
    </xf>
    <xf numFmtId="166" fontId="12" fillId="0" borderId="20" xfId="2" applyNumberFormat="1" applyFont="1" applyBorder="1" applyAlignment="1">
      <alignment horizontal="left"/>
    </xf>
    <xf numFmtId="166" fontId="12" fillId="0" borderId="20" xfId="1" applyNumberFormat="1" applyFont="1" applyBorder="1" applyAlignment="1">
      <alignment horizontal="left" vertical="center" wrapText="1"/>
    </xf>
    <xf numFmtId="0" fontId="17" fillId="11" borderId="1" xfId="2" applyFont="1" applyFill="1" applyBorder="1">
      <alignment vertical="center"/>
    </xf>
    <xf numFmtId="166" fontId="17" fillId="0" borderId="0" xfId="2" applyNumberFormat="1" applyFont="1" applyAlignment="1">
      <alignment horizontal="left"/>
    </xf>
    <xf numFmtId="20" fontId="32" fillId="0" borderId="21" xfId="1" applyNumberFormat="1" applyFont="1" applyBorder="1" applyAlignment="1">
      <alignment horizontal="left" vertical="center" wrapText="1"/>
    </xf>
    <xf numFmtId="20" fontId="32" fillId="0" borderId="11" xfId="1" applyNumberFormat="1" applyFont="1" applyBorder="1" applyAlignment="1">
      <alignment horizontal="left" vertical="center" wrapText="1"/>
    </xf>
    <xf numFmtId="0" fontId="32" fillId="9" borderId="21" xfId="1" applyFont="1" applyFill="1" applyBorder="1" applyAlignment="1">
      <alignment horizontal="left" vertical="center" wrapText="1"/>
    </xf>
    <xf numFmtId="0" fontId="32" fillId="9" borderId="12" xfId="1" applyFont="1" applyFill="1" applyBorder="1" applyAlignment="1">
      <alignment horizontal="left" vertical="center" wrapText="1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horizontal="left" vertical="center" wrapText="1"/>
    </xf>
    <xf numFmtId="0" fontId="17" fillId="15" borderId="1" xfId="2" applyFont="1" applyFill="1" applyBorder="1" applyAlignment="1">
      <alignment horizontal="left" vertical="center"/>
    </xf>
    <xf numFmtId="0" fontId="10" fillId="15" borderId="0" xfId="2" applyFont="1" applyFill="1" applyAlignment="1">
      <alignment vertical="center" wrapText="1"/>
    </xf>
    <xf numFmtId="0" fontId="17" fillId="15" borderId="0" xfId="2" applyFont="1" applyFill="1">
      <alignment vertical="center"/>
    </xf>
    <xf numFmtId="0" fontId="17" fillId="0" borderId="0" xfId="2" applyFont="1" applyAlignment="1">
      <alignment horizontal="left" vertical="center" wrapText="1"/>
    </xf>
    <xf numFmtId="0" fontId="32" fillId="9" borderId="26" xfId="1" applyFont="1" applyFill="1" applyBorder="1" applyAlignment="1">
      <alignment horizontal="left" vertical="center" wrapText="1"/>
    </xf>
    <xf numFmtId="0" fontId="42" fillId="9" borderId="10" xfId="1" applyFont="1" applyFill="1" applyBorder="1" applyAlignment="1">
      <alignment horizontal="left" vertical="center" wrapText="1"/>
    </xf>
    <xf numFmtId="0" fontId="17" fillId="15" borderId="1" xfId="2" applyFont="1" applyFill="1" applyBorder="1" applyAlignment="1">
      <alignment vertical="center" wrapText="1"/>
    </xf>
    <xf numFmtId="0" fontId="17" fillId="15" borderId="0" xfId="1" applyFont="1" applyFill="1" applyAlignment="1">
      <alignment horizontal="left" vertical="center"/>
    </xf>
    <xf numFmtId="0" fontId="37" fillId="15" borderId="0" xfId="2" applyFont="1" applyFill="1" applyAlignment="1">
      <alignment horizontal="left" vertical="center"/>
    </xf>
    <xf numFmtId="165" fontId="7" fillId="0" borderId="0" xfId="2" applyNumberFormat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11" fillId="11" borderId="1" xfId="1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0" fontId="12" fillId="11" borderId="1" xfId="2" applyFont="1" applyFill="1" applyBorder="1">
      <alignment vertical="center"/>
    </xf>
    <xf numFmtId="0" fontId="17" fillId="15" borderId="1" xfId="1" applyFont="1" applyFill="1" applyBorder="1" applyAlignment="1">
      <alignment horizontal="left" vertical="center" wrapText="1"/>
    </xf>
    <xf numFmtId="0" fontId="17" fillId="15" borderId="0" xfId="1" applyFont="1" applyFill="1" applyAlignment="1">
      <alignment horizontal="left" vertical="center" wrapText="1"/>
    </xf>
    <xf numFmtId="0" fontId="17" fillId="15" borderId="0" xfId="2" applyFont="1" applyFill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49" fontId="12" fillId="0" borderId="2" xfId="1" applyNumberFormat="1" applyFont="1" applyBorder="1" applyAlignment="1">
      <alignment horizontal="left" vertical="center" wrapText="1"/>
    </xf>
    <xf numFmtId="0" fontId="11" fillId="11" borderId="1" xfId="2" applyFont="1" applyFill="1" applyBorder="1" applyAlignment="1">
      <alignment horizontal="left" vertical="center"/>
    </xf>
    <xf numFmtId="0" fontId="12" fillId="0" borderId="1" xfId="1" applyFont="1" applyBorder="1" applyAlignment="1">
      <alignment horizontal="left" vertical="center" wrapText="1"/>
    </xf>
    <xf numFmtId="0" fontId="17" fillId="15" borderId="1" xfId="2" applyFont="1" applyFill="1" applyBorder="1">
      <alignment vertical="center"/>
    </xf>
    <xf numFmtId="0" fontId="17" fillId="15" borderId="0" xfId="2" applyFont="1" applyFill="1" applyAlignment="1">
      <alignment vertical="center" wrapText="1"/>
    </xf>
    <xf numFmtId="0" fontId="12" fillId="8" borderId="2" xfId="1" applyFont="1" applyFill="1" applyBorder="1" applyAlignment="1">
      <alignment horizontal="center" vertical="center" wrapText="1"/>
    </xf>
    <xf numFmtId="0" fontId="12" fillId="9" borderId="2" xfId="1" applyFont="1" applyFill="1" applyBorder="1" applyAlignment="1">
      <alignment horizontal="left" vertical="center" wrapText="1"/>
    </xf>
    <xf numFmtId="0" fontId="12" fillId="9" borderId="1" xfId="3" applyFont="1" applyFill="1" applyBorder="1" applyAlignment="1">
      <alignment horizontal="left" vertical="center" wrapText="1"/>
    </xf>
    <xf numFmtId="49" fontId="12" fillId="9" borderId="1" xfId="1" applyNumberFormat="1" applyFont="1" applyFill="1" applyBorder="1" applyAlignment="1">
      <alignment horizontal="left" vertical="center" wrapText="1"/>
    </xf>
    <xf numFmtId="49" fontId="12" fillId="9" borderId="0" xfId="1" applyNumberFormat="1" applyFont="1" applyFill="1" applyAlignment="1">
      <alignment horizontal="left" vertical="center" wrapText="1"/>
    </xf>
    <xf numFmtId="49" fontId="10" fillId="15" borderId="0" xfId="1" applyNumberFormat="1" applyFont="1" applyFill="1" applyAlignment="1">
      <alignment horizontal="left" vertical="center" wrapText="1"/>
    </xf>
    <xf numFmtId="0" fontId="10" fillId="15" borderId="0" xfId="2" applyFont="1" applyFill="1">
      <alignment vertical="center"/>
    </xf>
    <xf numFmtId="0" fontId="10" fillId="0" borderId="0" xfId="2" applyFont="1">
      <alignment vertical="center"/>
    </xf>
    <xf numFmtId="0" fontId="12" fillId="8" borderId="11" xfId="1" applyFont="1" applyFill="1" applyBorder="1" applyAlignment="1">
      <alignment horizontal="center" vertical="center" wrapText="1"/>
    </xf>
    <xf numFmtId="0" fontId="12" fillId="9" borderId="21" xfId="1" applyFont="1" applyFill="1" applyBorder="1" applyAlignment="1">
      <alignment horizontal="left" vertical="center" wrapText="1"/>
    </xf>
    <xf numFmtId="0" fontId="12" fillId="9" borderId="11" xfId="1" applyFont="1" applyFill="1" applyBorder="1" applyAlignment="1">
      <alignment horizontal="left" vertical="center" wrapText="1"/>
    </xf>
    <xf numFmtId="0" fontId="12" fillId="9" borderId="20" xfId="1" applyFont="1" applyFill="1" applyBorder="1" applyAlignment="1">
      <alignment horizontal="left" vertical="center" wrapText="1"/>
    </xf>
    <xf numFmtId="0" fontId="11" fillId="0" borderId="21" xfId="2" applyFont="1" applyBorder="1" applyAlignment="1">
      <alignment vertical="center" wrapText="1"/>
    </xf>
    <xf numFmtId="0" fontId="12" fillId="0" borderId="11" xfId="1" applyFont="1" applyBorder="1" applyAlignment="1">
      <alignment horizontal="left" vertical="center" wrapText="1"/>
    </xf>
    <xf numFmtId="49" fontId="15" fillId="15" borderId="0" xfId="5" applyNumberFormat="1" applyFont="1" applyFill="1" applyAlignment="1">
      <alignment horizontal="left" vertical="center" wrapText="1"/>
    </xf>
    <xf numFmtId="0" fontId="15" fillId="15" borderId="0" xfId="1" applyFont="1" applyFill="1" applyAlignment="1">
      <alignment horizontal="left" vertical="center" wrapText="1"/>
    </xf>
    <xf numFmtId="0" fontId="15" fillId="0" borderId="0" xfId="1" applyFont="1" applyAlignment="1">
      <alignment horizontal="left" vertical="center" wrapText="1"/>
    </xf>
    <xf numFmtId="20" fontId="10" fillId="9" borderId="21" xfId="1" applyNumberFormat="1" applyFont="1" applyFill="1" applyBorder="1" applyAlignment="1">
      <alignment horizontal="left" vertical="center" wrapText="1"/>
    </xf>
    <xf numFmtId="20" fontId="10" fillId="9" borderId="11" xfId="1" applyNumberFormat="1" applyFont="1" applyFill="1" applyBorder="1" applyAlignment="1">
      <alignment horizontal="left" vertical="center" wrapText="1"/>
    </xf>
    <xf numFmtId="0" fontId="32" fillId="8" borderId="2" xfId="1" applyFont="1" applyFill="1" applyBorder="1" applyAlignment="1">
      <alignment horizontal="center" vertical="center" wrapText="1"/>
    </xf>
    <xf numFmtId="0" fontId="10" fillId="9" borderId="1" xfId="1" applyFont="1" applyFill="1" applyBorder="1" applyAlignment="1">
      <alignment vertical="center" wrapText="1"/>
    </xf>
    <xf numFmtId="0" fontId="32" fillId="9" borderId="2" xfId="1" applyFont="1" applyFill="1" applyBorder="1" applyAlignment="1">
      <alignment horizontal="left" vertical="center" wrapText="1"/>
    </xf>
    <xf numFmtId="0" fontId="10" fillId="11" borderId="1" xfId="1" applyFont="1" applyFill="1" applyBorder="1" applyAlignment="1">
      <alignment vertical="center" wrapText="1"/>
    </xf>
    <xf numFmtId="0" fontId="32" fillId="9" borderId="14" xfId="1" applyFont="1" applyFill="1" applyBorder="1" applyAlignment="1">
      <alignment horizontal="left" vertical="center" wrapText="1"/>
    </xf>
    <xf numFmtId="0" fontId="32" fillId="9" borderId="1" xfId="1" applyFont="1" applyFill="1" applyBorder="1" applyAlignment="1">
      <alignment vertical="center" wrapText="1"/>
    </xf>
    <xf numFmtId="0" fontId="17" fillId="0" borderId="1" xfId="2" applyFont="1" applyBorder="1" applyAlignment="1">
      <alignment vertical="center" wrapText="1"/>
    </xf>
    <xf numFmtId="0" fontId="32" fillId="16" borderId="1" xfId="1" applyFont="1" applyFill="1" applyBorder="1" applyAlignment="1">
      <alignment horizontal="left" vertical="center" wrapText="1"/>
    </xf>
    <xf numFmtId="0" fontId="32" fillId="15" borderId="0" xfId="1" applyFont="1" applyFill="1" applyAlignment="1">
      <alignment horizontal="left" vertical="center" wrapText="1"/>
    </xf>
    <xf numFmtId="0" fontId="32" fillId="0" borderId="0" xfId="1" applyFont="1" applyAlignment="1">
      <alignment horizontal="left" vertical="center" wrapText="1"/>
    </xf>
    <xf numFmtId="20" fontId="32" fillId="9" borderId="2" xfId="1" applyNumberFormat="1" applyFont="1" applyFill="1" applyBorder="1" applyAlignment="1">
      <alignment horizontal="left" vertical="center" wrapText="1"/>
    </xf>
    <xf numFmtId="0" fontId="42" fillId="8" borderId="11" xfId="1" applyFont="1" applyFill="1" applyBorder="1" applyAlignment="1">
      <alignment horizontal="center" vertical="center" wrapText="1"/>
    </xf>
    <xf numFmtId="0" fontId="42" fillId="9" borderId="21" xfId="1" applyFont="1" applyFill="1" applyBorder="1" applyAlignment="1">
      <alignment horizontal="left" vertical="center" wrapText="1"/>
    </xf>
    <xf numFmtId="0" fontId="42" fillId="9" borderId="11" xfId="1" applyFont="1" applyFill="1" applyBorder="1" applyAlignment="1">
      <alignment horizontal="left" vertical="center" wrapText="1"/>
    </xf>
    <xf numFmtId="0" fontId="42" fillId="9" borderId="20" xfId="1" applyFont="1" applyFill="1" applyBorder="1" applyAlignment="1">
      <alignment horizontal="left" vertical="center" wrapText="1"/>
    </xf>
    <xf numFmtId="0" fontId="45" fillId="0" borderId="0" xfId="1" applyFont="1" applyAlignment="1">
      <alignment horizontal="left" vertical="center" wrapText="1"/>
    </xf>
    <xf numFmtId="0" fontId="42" fillId="9" borderId="1" xfId="1" applyFont="1" applyFill="1" applyBorder="1" applyAlignment="1">
      <alignment vertical="center" wrapText="1"/>
    </xf>
    <xf numFmtId="0" fontId="42" fillId="9" borderId="0" xfId="1" applyFont="1" applyFill="1" applyAlignment="1">
      <alignment horizontal="left" vertical="center" wrapText="1"/>
    </xf>
    <xf numFmtId="0" fontId="42" fillId="9" borderId="1" xfId="1" applyFont="1" applyFill="1" applyBorder="1" applyAlignment="1">
      <alignment horizontal="left" vertical="center" wrapText="1"/>
    </xf>
    <xf numFmtId="0" fontId="42" fillId="9" borderId="7" xfId="1" applyFont="1" applyFill="1" applyBorder="1" applyAlignment="1">
      <alignment horizontal="left" vertical="center" wrapText="1"/>
    </xf>
    <xf numFmtId="0" fontId="42" fillId="17" borderId="1" xfId="6" applyFont="1" applyFill="1" applyBorder="1" applyAlignment="1">
      <alignment vertical="center"/>
    </xf>
    <xf numFmtId="2" fontId="32" fillId="18" borderId="1" xfId="6" applyNumberFormat="1" applyFont="1" applyFill="1" applyBorder="1" applyAlignment="1">
      <alignment vertical="center" wrapText="1"/>
    </xf>
    <xf numFmtId="0" fontId="32" fillId="18" borderId="0" xfId="6" applyNumberFormat="1" applyFont="1" applyFill="1" applyBorder="1" applyAlignment="1">
      <alignment vertical="center" wrapText="1"/>
    </xf>
    <xf numFmtId="0" fontId="32" fillId="18" borderId="1" xfId="4" applyFont="1" applyFill="1" applyBorder="1" applyAlignment="1">
      <alignment vertical="center" wrapText="1"/>
    </xf>
    <xf numFmtId="0" fontId="32" fillId="18" borderId="0" xfId="4" applyFont="1" applyFill="1" applyBorder="1" applyAlignment="1">
      <alignment vertical="center" wrapText="1"/>
    </xf>
    <xf numFmtId="0" fontId="32" fillId="9" borderId="27" xfId="1" applyFont="1" applyFill="1" applyBorder="1" applyAlignment="1">
      <alignment vertical="center" wrapText="1"/>
    </xf>
    <xf numFmtId="0" fontId="32" fillId="9" borderId="0" xfId="1" applyFont="1" applyFill="1" applyAlignment="1">
      <alignment vertical="center" wrapText="1"/>
    </xf>
    <xf numFmtId="0" fontId="32" fillId="0" borderId="2" xfId="4" applyFont="1" applyFill="1" applyBorder="1" applyAlignment="1">
      <alignment vertical="center" wrapText="1"/>
    </xf>
    <xf numFmtId="0" fontId="32" fillId="0" borderId="0" xfId="4" applyFont="1" applyFill="1" applyBorder="1" applyAlignment="1">
      <alignment vertical="center" wrapText="1"/>
    </xf>
    <xf numFmtId="0" fontId="32" fillId="9" borderId="0" xfId="4" applyFont="1" applyFill="1" applyBorder="1" applyAlignment="1">
      <alignment vertical="center" wrapText="1"/>
    </xf>
    <xf numFmtId="0" fontId="42" fillId="0" borderId="0" xfId="2" applyFont="1" applyAlignment="1">
      <alignment vertical="center" wrapText="1"/>
    </xf>
    <xf numFmtId="0" fontId="42" fillId="17" borderId="1" xfId="6" applyFont="1" applyFill="1" applyBorder="1" applyAlignment="1">
      <alignment vertical="center" wrapText="1"/>
    </xf>
    <xf numFmtId="0" fontId="32" fillId="18" borderId="1" xfId="6" applyFont="1" applyFill="1" applyBorder="1" applyAlignment="1">
      <alignment vertical="center" wrapText="1"/>
    </xf>
    <xf numFmtId="0" fontId="7" fillId="0" borderId="0" xfId="2" applyFont="1" applyAlignment="1"/>
    <xf numFmtId="0" fontId="7" fillId="11" borderId="1" xfId="2" applyFont="1" applyFill="1" applyBorder="1" applyAlignment="1"/>
    <xf numFmtId="0" fontId="7" fillId="11" borderId="0" xfId="2" applyFont="1" applyFill="1" applyAlignment="1"/>
    <xf numFmtId="0" fontId="7" fillId="11" borderId="28" xfId="2" applyFont="1" applyFill="1" applyBorder="1" applyAlignment="1"/>
    <xf numFmtId="0" fontId="32" fillId="17" borderId="1" xfId="6" applyFont="1" applyFill="1" applyBorder="1" applyAlignment="1">
      <alignment vertical="center" wrapText="1"/>
    </xf>
    <xf numFmtId="0" fontId="7" fillId="0" borderId="1" xfId="2" applyFont="1" applyBorder="1" applyAlignment="1">
      <alignment vertical="center" wrapText="1"/>
    </xf>
    <xf numFmtId="0" fontId="32" fillId="0" borderId="0" xfId="6" applyFont="1" applyFill="1" applyBorder="1" applyAlignment="1">
      <alignment vertical="center" wrapText="1"/>
    </xf>
    <xf numFmtId="0" fontId="32" fillId="0" borderId="0" xfId="3" applyFont="1" applyAlignment="1">
      <alignment vertical="center" wrapText="1"/>
    </xf>
    <xf numFmtId="0" fontId="32" fillId="9" borderId="1" xfId="3" applyFont="1" applyFill="1" applyBorder="1" applyAlignment="1">
      <alignment vertical="center" wrapText="1"/>
    </xf>
    <xf numFmtId="0" fontId="32" fillId="9" borderId="0" xfId="3" applyFont="1" applyFill="1" applyAlignment="1">
      <alignment vertical="center" wrapText="1"/>
    </xf>
    <xf numFmtId="0" fontId="42" fillId="9" borderId="2" xfId="3" applyFont="1" applyFill="1" applyBorder="1" applyAlignment="1">
      <alignment vertical="center" wrapText="1"/>
    </xf>
    <xf numFmtId="0" fontId="42" fillId="19" borderId="0" xfId="3" applyFont="1" applyFill="1" applyAlignment="1">
      <alignment vertical="center" wrapText="1"/>
    </xf>
    <xf numFmtId="2" fontId="32" fillId="18" borderId="1" xfId="4" applyNumberFormat="1" applyFont="1" applyFill="1" applyBorder="1" applyAlignment="1">
      <alignment vertical="center" wrapText="1"/>
    </xf>
    <xf numFmtId="2" fontId="32" fillId="18" borderId="0" xfId="4" applyNumberFormat="1" applyFont="1" applyFill="1" applyBorder="1" applyAlignment="1">
      <alignment horizontal="right" vertical="center" wrapText="1"/>
    </xf>
    <xf numFmtId="2" fontId="32" fillId="18" borderId="0" xfId="4" applyNumberFormat="1" applyFont="1" applyFill="1" applyBorder="1" applyAlignment="1">
      <alignment vertical="center" wrapText="1"/>
    </xf>
    <xf numFmtId="2" fontId="32" fillId="9" borderId="1" xfId="1" applyNumberFormat="1" applyFont="1" applyFill="1" applyBorder="1" applyAlignment="1">
      <alignment vertical="center" wrapText="1"/>
    </xf>
    <xf numFmtId="2" fontId="32" fillId="9" borderId="0" xfId="1" applyNumberFormat="1" applyFont="1" applyFill="1" applyAlignment="1">
      <alignment vertical="center" wrapText="1"/>
    </xf>
    <xf numFmtId="2" fontId="32" fillId="0" borderId="2" xfId="4" applyNumberFormat="1" applyFont="1" applyFill="1" applyBorder="1" applyAlignment="1">
      <alignment vertical="center" wrapText="1"/>
    </xf>
    <xf numFmtId="2" fontId="32" fillId="0" borderId="0" xfId="5" applyNumberFormat="1" applyFont="1" applyAlignment="1">
      <alignment vertical="center" wrapText="1"/>
    </xf>
    <xf numFmtId="0" fontId="32" fillId="0" borderId="0" xfId="5" applyFont="1" applyAlignment="1">
      <alignment vertical="center" wrapText="1"/>
    </xf>
    <xf numFmtId="0" fontId="32" fillId="9" borderId="1" xfId="5" applyFont="1" applyFill="1" applyBorder="1" applyAlignment="1">
      <alignment vertical="center" wrapText="1"/>
    </xf>
    <xf numFmtId="0" fontId="32" fillId="9" borderId="0" xfId="5" applyFont="1" applyFill="1" applyAlignment="1">
      <alignment vertical="center" wrapText="1"/>
    </xf>
    <xf numFmtId="0" fontId="42" fillId="9" borderId="0" xfId="5" applyFont="1" applyFill="1" applyAlignment="1">
      <alignment vertical="center" wrapText="1"/>
    </xf>
    <xf numFmtId="0" fontId="42" fillId="9" borderId="2" xfId="5" applyFont="1" applyFill="1" applyBorder="1" applyAlignment="1">
      <alignment vertical="center" wrapText="1"/>
    </xf>
    <xf numFmtId="0" fontId="42" fillId="19" borderId="0" xfId="5" applyFont="1" applyFill="1" applyAlignment="1">
      <alignment vertical="center" wrapText="1"/>
    </xf>
    <xf numFmtId="2" fontId="32" fillId="0" borderId="1" xfId="4" applyNumberFormat="1" applyFont="1" applyFill="1" applyBorder="1" applyAlignment="1">
      <alignment vertical="center" wrapText="1"/>
    </xf>
    <xf numFmtId="165" fontId="32" fillId="9" borderId="1" xfId="1" applyNumberFormat="1" applyFont="1" applyFill="1" applyBorder="1" applyAlignment="1">
      <alignment vertical="center" wrapText="1"/>
    </xf>
    <xf numFmtId="2" fontId="32" fillId="9" borderId="29" xfId="1" applyNumberFormat="1" applyFont="1" applyFill="1" applyBorder="1" applyAlignment="1">
      <alignment vertical="center" wrapText="1"/>
    </xf>
    <xf numFmtId="166" fontId="7" fillId="0" borderId="1" xfId="2" applyNumberFormat="1" applyFont="1" applyBorder="1" applyAlignment="1">
      <alignment vertical="center" wrapText="1"/>
    </xf>
    <xf numFmtId="0" fontId="7" fillId="0" borderId="30" xfId="2" applyFont="1" applyBorder="1">
      <alignment vertical="center"/>
    </xf>
    <xf numFmtId="165" fontId="32" fillId="0" borderId="0" xfId="5" applyNumberFormat="1" applyFont="1" applyAlignment="1">
      <alignment vertical="center" wrapText="1"/>
    </xf>
    <xf numFmtId="0" fontId="32" fillId="9" borderId="21" xfId="5" applyFont="1" applyFill="1" applyBorder="1" applyAlignment="1">
      <alignment vertical="center" wrapText="1"/>
    </xf>
    <xf numFmtId="0" fontId="32" fillId="9" borderId="20" xfId="5" applyFont="1" applyFill="1" applyBorder="1" applyAlignment="1">
      <alignment vertical="center" wrapText="1"/>
    </xf>
    <xf numFmtId="0" fontId="42" fillId="9" borderId="20" xfId="5" applyFont="1" applyFill="1" applyBorder="1" applyAlignment="1">
      <alignment vertical="center" wrapText="1"/>
    </xf>
    <xf numFmtId="0" fontId="42" fillId="9" borderId="11" xfId="5" applyFont="1" applyFill="1" applyBorder="1" applyAlignment="1">
      <alignment vertical="center" wrapText="1"/>
    </xf>
    <xf numFmtId="0" fontId="42" fillId="20" borderId="31" xfId="6" applyFont="1" applyFill="1" applyBorder="1" applyAlignment="1">
      <alignment vertical="center" wrapText="1"/>
    </xf>
    <xf numFmtId="0" fontId="42" fillId="9" borderId="32" xfId="6" applyFont="1" applyFill="1" applyBorder="1" applyAlignment="1">
      <alignment vertical="center" wrapText="1"/>
    </xf>
    <xf numFmtId="0" fontId="42" fillId="9" borderId="33" xfId="2" applyFont="1" applyFill="1" applyBorder="1" applyAlignment="1">
      <alignment vertical="center" wrapText="1"/>
    </xf>
    <xf numFmtId="0" fontId="42" fillId="0" borderId="32" xfId="4" applyNumberFormat="1" applyFont="1" applyFill="1" applyBorder="1" applyAlignment="1">
      <alignment vertical="center" wrapText="1"/>
    </xf>
    <xf numFmtId="0" fontId="32" fillId="0" borderId="33" xfId="2" applyFont="1" applyBorder="1" applyAlignment="1">
      <alignment vertical="center" wrapText="1"/>
    </xf>
    <xf numFmtId="0" fontId="32" fillId="9" borderId="32" xfId="1" applyFont="1" applyFill="1" applyBorder="1" applyAlignment="1">
      <alignment vertical="center" wrapText="1"/>
    </xf>
    <xf numFmtId="0" fontId="32" fillId="9" borderId="33" xfId="2" applyFont="1" applyFill="1" applyBorder="1" applyAlignment="1">
      <alignment vertical="center" wrapText="1"/>
    </xf>
    <xf numFmtId="0" fontId="32" fillId="9" borderId="32" xfId="2" applyFont="1" applyFill="1" applyBorder="1" applyAlignment="1">
      <alignment vertical="center" wrapText="1"/>
    </xf>
    <xf numFmtId="0" fontId="32" fillId="9" borderId="34" xfId="2" applyFont="1" applyFill="1" applyBorder="1" applyAlignment="1">
      <alignment vertical="center" wrapText="1"/>
    </xf>
    <xf numFmtId="0" fontId="7" fillId="0" borderId="34" xfId="2" applyFont="1" applyBorder="1" applyAlignment="1">
      <alignment vertical="center" wrapText="1"/>
    </xf>
    <xf numFmtId="0" fontId="32" fillId="0" borderId="35" xfId="2" applyFont="1" applyBorder="1" applyAlignment="1">
      <alignment vertical="center" wrapText="1"/>
    </xf>
    <xf numFmtId="0" fontId="42" fillId="9" borderId="1" xfId="2" applyFont="1" applyFill="1" applyBorder="1" applyAlignment="1">
      <alignment vertical="center" wrapText="1"/>
    </xf>
    <xf numFmtId="0" fontId="42" fillId="9" borderId="0" xfId="2" applyFont="1" applyFill="1" applyAlignment="1">
      <alignment vertical="center" wrapText="1"/>
    </xf>
    <xf numFmtId="0" fontId="42" fillId="11" borderId="0" xfId="2" applyFont="1" applyFill="1" applyAlignment="1">
      <alignment vertical="center" wrapText="1"/>
    </xf>
    <xf numFmtId="0" fontId="42" fillId="11" borderId="0" xfId="2" applyFont="1" applyFill="1">
      <alignment vertical="center"/>
    </xf>
    <xf numFmtId="0" fontId="32" fillId="11" borderId="0" xfId="2" applyFont="1" applyFill="1" applyAlignment="1">
      <alignment vertical="center" wrapText="1"/>
    </xf>
    <xf numFmtId="0" fontId="42" fillId="21" borderId="0" xfId="6" applyFont="1" applyFill="1" applyBorder="1" applyAlignment="1">
      <alignment vertical="center" wrapText="1"/>
    </xf>
    <xf numFmtId="0" fontId="7" fillId="11" borderId="0" xfId="2" applyFont="1" applyFill="1">
      <alignment vertical="center"/>
    </xf>
    <xf numFmtId="2" fontId="42" fillId="11" borderId="0" xfId="2" applyNumberFormat="1" applyFont="1" applyFill="1" applyAlignment="1">
      <alignment vertical="center" wrapText="1"/>
    </xf>
    <xf numFmtId="0" fontId="47" fillId="22" borderId="0" xfId="2" applyFont="1" applyFill="1" applyAlignment="1">
      <alignment vertical="center" wrapText="1"/>
    </xf>
    <xf numFmtId="0" fontId="42" fillId="18" borderId="0" xfId="7" applyFont="1" applyFill="1" applyBorder="1" applyAlignment="1">
      <alignment vertical="center"/>
    </xf>
    <xf numFmtId="0" fontId="42" fillId="18" borderId="0" xfId="7" applyFont="1" applyFill="1" applyBorder="1" applyAlignment="1">
      <alignment vertical="center" wrapText="1"/>
    </xf>
    <xf numFmtId="0" fontId="42" fillId="9" borderId="0" xfId="7" applyFont="1" applyFill="1" applyBorder="1" applyAlignment="1">
      <alignment vertical="center" wrapText="1"/>
    </xf>
    <xf numFmtId="0" fontId="42" fillId="0" borderId="0" xfId="2" applyFont="1">
      <alignment vertical="center"/>
    </xf>
    <xf numFmtId="0" fontId="42" fillId="9" borderId="0" xfId="7" applyFont="1" applyFill="1" applyBorder="1" applyAlignment="1">
      <alignment vertical="center"/>
    </xf>
    <xf numFmtId="0" fontId="42" fillId="9" borderId="0" xfId="2" applyFont="1" applyFill="1">
      <alignment vertical="center"/>
    </xf>
    <xf numFmtId="0" fontId="50" fillId="9" borderId="0" xfId="2" applyFont="1" applyFill="1">
      <alignment vertical="center"/>
    </xf>
    <xf numFmtId="0" fontId="42" fillId="22" borderId="0" xfId="2" applyFont="1" applyFill="1">
      <alignment vertical="center"/>
    </xf>
    <xf numFmtId="0" fontId="42" fillId="22" borderId="0" xfId="2" applyFont="1" applyFill="1" applyAlignment="1">
      <alignment vertical="center" wrapText="1"/>
    </xf>
    <xf numFmtId="0" fontId="51" fillId="9" borderId="0" xfId="2" applyFont="1" applyFill="1">
      <alignment vertical="center"/>
    </xf>
    <xf numFmtId="0" fontId="49" fillId="9" borderId="0" xfId="2" applyFont="1" applyFill="1">
      <alignment vertical="center"/>
    </xf>
    <xf numFmtId="0" fontId="49" fillId="0" borderId="0" xfId="2" applyFont="1" applyAlignment="1"/>
    <xf numFmtId="0" fontId="52" fillId="0" borderId="0" xfId="0" applyFont="1">
      <alignment vertical="center"/>
    </xf>
    <xf numFmtId="0" fontId="42" fillId="0" borderId="0" xfId="2" applyFont="1" applyAlignment="1"/>
    <xf numFmtId="0" fontId="28" fillId="23" borderId="36" xfId="2" applyFont="1" applyFill="1" applyBorder="1" applyAlignment="1"/>
    <xf numFmtId="0" fontId="7" fillId="23" borderId="36" xfId="2" applyFont="1" applyFill="1" applyBorder="1" applyAlignment="1"/>
    <xf numFmtId="0" fontId="7" fillId="24" borderId="36" xfId="2" applyFont="1" applyFill="1" applyBorder="1">
      <alignment vertical="center"/>
    </xf>
    <xf numFmtId="0" fontId="7" fillId="25" borderId="36" xfId="2" applyFont="1" applyFill="1" applyBorder="1" applyAlignment="1"/>
    <xf numFmtId="0" fontId="7" fillId="25" borderId="0" xfId="2" applyFont="1" applyFill="1" applyAlignment="1"/>
    <xf numFmtId="0" fontId="32" fillId="23" borderId="36" xfId="2" applyFont="1" applyFill="1" applyBorder="1" applyAlignment="1"/>
    <xf numFmtId="0" fontId="7" fillId="13" borderId="0" xfId="2" applyFont="1" applyFill="1" applyAlignment="1">
      <alignment vertical="center" wrapText="1"/>
    </xf>
    <xf numFmtId="0" fontId="7" fillId="13" borderId="0" xfId="2" applyFont="1" applyFill="1">
      <alignment vertical="center"/>
    </xf>
    <xf numFmtId="14" fontId="7" fillId="0" borderId="0" xfId="2" applyNumberFormat="1" applyFont="1">
      <alignment vertical="center"/>
    </xf>
    <xf numFmtId="167" fontId="7" fillId="0" borderId="0" xfId="2" applyNumberFormat="1" applyFont="1">
      <alignment vertical="center"/>
    </xf>
    <xf numFmtId="0" fontId="20" fillId="0" borderId="37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39" xfId="0" applyFont="1" applyBorder="1" applyAlignment="1">
      <alignment vertical="center" wrapText="1"/>
    </xf>
    <xf numFmtId="0" fontId="20" fillId="0" borderId="0" xfId="0" applyFont="1">
      <alignment vertical="center"/>
    </xf>
    <xf numFmtId="0" fontId="53" fillId="0" borderId="0" xfId="0" applyFont="1">
      <alignment vertical="center"/>
    </xf>
    <xf numFmtId="0" fontId="24" fillId="11" borderId="0" xfId="1" applyFont="1" applyFill="1" applyAlignment="1">
      <alignment horizontal="left" vertical="center" wrapText="1"/>
    </xf>
    <xf numFmtId="0" fontId="24" fillId="11" borderId="1" xfId="1" applyFont="1" applyFill="1" applyBorder="1" applyAlignment="1">
      <alignment horizontal="left" vertical="center" wrapText="1"/>
    </xf>
    <xf numFmtId="0" fontId="54" fillId="0" borderId="0" xfId="0" applyFont="1">
      <alignment vertical="center"/>
    </xf>
    <xf numFmtId="0" fontId="55" fillId="0" borderId="1" xfId="1" applyFont="1" applyBorder="1" applyAlignment="1">
      <alignment horizontal="left" vertical="center" wrapText="1"/>
    </xf>
    <xf numFmtId="0" fontId="56" fillId="11" borderId="0" xfId="1" applyFont="1" applyFill="1" applyAlignment="1">
      <alignment horizontal="left" vertical="center" wrapText="1"/>
    </xf>
    <xf numFmtId="0" fontId="56" fillId="14" borderId="0" xfId="1" applyFont="1" applyFill="1" applyAlignment="1">
      <alignment horizontal="left" vertical="center" wrapText="1"/>
    </xf>
    <xf numFmtId="0" fontId="25" fillId="11" borderId="0" xfId="1" applyFont="1" applyFill="1" applyAlignment="1">
      <alignment horizontal="left" vertical="center" wrapText="1"/>
    </xf>
    <xf numFmtId="0" fontId="33" fillId="11" borderId="0" xfId="1" applyFont="1" applyFill="1" applyAlignment="1">
      <alignment horizontal="left" vertical="center" wrapText="1"/>
    </xf>
    <xf numFmtId="0" fontId="10" fillId="11" borderId="0" xfId="2" applyFont="1" applyFill="1" applyAlignment="1">
      <alignment vertical="center" wrapText="1"/>
    </xf>
    <xf numFmtId="0" fontId="10" fillId="11" borderId="0" xfId="0" applyFont="1" applyFill="1">
      <alignment vertical="center"/>
    </xf>
    <xf numFmtId="0" fontId="32" fillId="11" borderId="0" xfId="2" applyFont="1" applyFill="1">
      <alignment vertical="center"/>
    </xf>
    <xf numFmtId="0" fontId="53" fillId="0" borderId="0" xfId="0" applyFont="1" applyAlignment="1">
      <alignment vertical="center" wrapText="1"/>
    </xf>
    <xf numFmtId="0" fontId="58" fillId="0" borderId="0" xfId="0" applyFont="1">
      <alignment vertical="center"/>
    </xf>
    <xf numFmtId="0" fontId="24" fillId="11" borderId="16" xfId="1" applyFont="1" applyFill="1" applyBorder="1" applyAlignment="1">
      <alignment horizontal="left" vertical="center" wrapText="1"/>
    </xf>
    <xf numFmtId="0" fontId="59" fillId="0" borderId="0" xfId="0" applyFont="1">
      <alignment vertical="center"/>
    </xf>
    <xf numFmtId="0" fontId="60" fillId="0" borderId="0" xfId="0" applyFont="1" applyAlignment="1">
      <alignment vertical="center" wrapText="1"/>
    </xf>
    <xf numFmtId="0" fontId="25" fillId="0" borderId="0" xfId="1" applyFont="1" applyAlignment="1">
      <alignment horizontal="left" vertical="center" wrapText="1"/>
    </xf>
    <xf numFmtId="0" fontId="29" fillId="0" borderId="0" xfId="2" applyFont="1">
      <alignment vertical="center"/>
    </xf>
    <xf numFmtId="0" fontId="10" fillId="8" borderId="15" xfId="1" applyFont="1" applyFill="1" applyBorder="1" applyAlignment="1">
      <alignment horizontal="center" vertical="center" wrapText="1"/>
    </xf>
    <xf numFmtId="0" fontId="22" fillId="9" borderId="4" xfId="1" applyFont="1" applyFill="1" applyBorder="1" applyAlignment="1">
      <alignment horizontal="center" vertical="center" wrapText="1"/>
    </xf>
    <xf numFmtId="0" fontId="22" fillId="9" borderId="3" xfId="1" applyFont="1" applyFill="1" applyBorder="1" applyAlignment="1">
      <alignment horizontal="right" vertical="center" wrapText="1"/>
    </xf>
    <xf numFmtId="0" fontId="11" fillId="11" borderId="3" xfId="2" applyFont="1" applyFill="1" applyBorder="1" applyAlignment="1">
      <alignment horizontal="right" vertical="center"/>
    </xf>
    <xf numFmtId="0" fontId="22" fillId="9" borderId="40" xfId="1" applyFont="1" applyFill="1" applyBorder="1" applyAlignment="1">
      <alignment horizontal="right" vertical="center" wrapText="1"/>
    </xf>
    <xf numFmtId="0" fontId="22" fillId="0" borderId="4" xfId="1" applyFont="1" applyBorder="1" applyAlignment="1">
      <alignment horizontal="left" vertical="center" wrapText="1"/>
    </xf>
    <xf numFmtId="0" fontId="22" fillId="0" borderId="3" xfId="1" applyFont="1" applyBorder="1" applyAlignment="1">
      <alignment horizontal="right" vertical="center" wrapText="1"/>
    </xf>
    <xf numFmtId="0" fontId="22" fillId="0" borderId="3" xfId="2" applyFont="1" applyBorder="1">
      <alignment vertical="center"/>
    </xf>
    <xf numFmtId="0" fontId="22" fillId="0" borderId="3" xfId="1" applyFont="1" applyBorder="1" applyAlignment="1">
      <alignment vertical="center" wrapText="1"/>
    </xf>
    <xf numFmtId="0" fontId="35" fillId="0" borderId="14" xfId="0" applyFont="1" applyBorder="1" applyAlignment="1">
      <alignment vertical="center" wrapText="1"/>
    </xf>
    <xf numFmtId="0" fontId="59" fillId="0" borderId="14" xfId="0" applyFont="1" applyBorder="1">
      <alignment vertical="center"/>
    </xf>
    <xf numFmtId="0" fontId="56" fillId="11" borderId="1" xfId="1" applyFont="1" applyFill="1" applyBorder="1" applyAlignment="1">
      <alignment horizontal="left" vertical="center" wrapText="1"/>
    </xf>
    <xf numFmtId="0" fontId="54" fillId="0" borderId="0" xfId="0" applyFont="1" applyAlignment="1">
      <alignment vertical="center" wrapText="1"/>
    </xf>
    <xf numFmtId="0" fontId="7" fillId="0" borderId="2" xfId="2" applyFont="1" applyBorder="1">
      <alignment vertical="center"/>
    </xf>
    <xf numFmtId="2" fontId="12" fillId="0" borderId="4" xfId="1" applyNumberFormat="1" applyFont="1" applyBorder="1" applyAlignment="1">
      <alignment horizontal="left" vertical="center" wrapText="1"/>
    </xf>
    <xf numFmtId="2" fontId="12" fillId="0" borderId="3" xfId="1" applyNumberFormat="1" applyFont="1" applyBorder="1" applyAlignment="1">
      <alignment horizontal="left" vertical="center" wrapText="1"/>
    </xf>
    <xf numFmtId="49" fontId="22" fillId="0" borderId="2" xfId="1" applyNumberFormat="1" applyFont="1" applyBorder="1" applyAlignment="1">
      <alignment horizontal="left" vertical="center" wrapText="1"/>
    </xf>
    <xf numFmtId="0" fontId="35" fillId="11" borderId="0" xfId="1" applyFont="1" applyFill="1" applyAlignment="1">
      <alignment horizontal="right" vertical="center" wrapText="1"/>
    </xf>
    <xf numFmtId="0" fontId="22" fillId="0" borderId="2" xfId="2" applyFont="1" applyBorder="1" applyAlignment="1">
      <alignment horizontal="left" vertical="center" wrapText="1"/>
    </xf>
    <xf numFmtId="49" fontId="22" fillId="0" borderId="2" xfId="1" applyNumberFormat="1" applyFont="1" applyBorder="1" applyAlignment="1">
      <alignment vertical="center" wrapText="1"/>
    </xf>
    <xf numFmtId="0" fontId="11" fillId="0" borderId="0" xfId="2" applyFont="1" applyAlignment="1">
      <alignment horizontal="left" vertical="center" wrapText="1"/>
    </xf>
    <xf numFmtId="0" fontId="11" fillId="0" borderId="1" xfId="2" applyFont="1" applyBorder="1" applyAlignment="1">
      <alignment horizontal="right" vertical="center"/>
    </xf>
    <xf numFmtId="49" fontId="22" fillId="11" borderId="2" xfId="1" applyNumberFormat="1" applyFont="1" applyFill="1" applyBorder="1" applyAlignment="1">
      <alignment vertical="center" wrapText="1"/>
    </xf>
    <xf numFmtId="0" fontId="61" fillId="11" borderId="0" xfId="1" applyFont="1" applyFill="1" applyAlignment="1">
      <alignment horizontal="left" vertical="center" wrapText="1"/>
    </xf>
    <xf numFmtId="49" fontId="15" fillId="0" borderId="0" xfId="1" applyNumberFormat="1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165" fontId="17" fillId="11" borderId="0" xfId="2" applyNumberFormat="1" applyFont="1" applyFill="1" applyAlignment="1">
      <alignment horizontal="right" vertical="center"/>
    </xf>
    <xf numFmtId="0" fontId="10" fillId="8" borderId="27" xfId="1" applyFont="1" applyFill="1" applyBorder="1" applyAlignment="1">
      <alignment horizontal="center" vertical="center" wrapText="1"/>
    </xf>
    <xf numFmtId="0" fontId="11" fillId="11" borderId="0" xfId="2" applyFont="1" applyFill="1" applyAlignment="1">
      <alignment horizontal="center" vertical="center" wrapText="1"/>
    </xf>
    <xf numFmtId="0" fontId="11" fillId="11" borderId="2" xfId="2" applyFont="1" applyFill="1" applyBorder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0" fontId="63" fillId="0" borderId="0" xfId="0" applyFont="1" applyAlignment="1">
      <alignment vertical="center" wrapText="1"/>
    </xf>
    <xf numFmtId="0" fontId="23" fillId="8" borderId="20" xfId="1" applyFont="1" applyFill="1" applyBorder="1" applyAlignment="1">
      <alignment horizontal="right" vertical="center" wrapText="1"/>
    </xf>
    <xf numFmtId="0" fontId="63" fillId="0" borderId="1" xfId="0" applyFont="1" applyBorder="1">
      <alignment vertical="center"/>
    </xf>
    <xf numFmtId="0" fontId="3" fillId="6" borderId="40" xfId="1" applyFont="1" applyFill="1" applyBorder="1" applyAlignment="1">
      <alignment horizontal="center" vertical="center" wrapText="1"/>
    </xf>
    <xf numFmtId="0" fontId="64" fillId="14" borderId="0" xfId="1" applyFont="1" applyFill="1" applyAlignment="1">
      <alignment horizontal="left" vertical="center" wrapText="1"/>
    </xf>
    <xf numFmtId="0" fontId="65" fillId="14" borderId="1" xfId="1" applyFont="1" applyFill="1" applyBorder="1" applyAlignment="1">
      <alignment horizontal="left" vertical="center" wrapText="1"/>
    </xf>
    <xf numFmtId="0" fontId="65" fillId="14" borderId="0" xfId="1" applyFont="1" applyFill="1" applyAlignment="1">
      <alignment horizontal="left" vertical="center" wrapText="1"/>
    </xf>
    <xf numFmtId="0" fontId="68" fillId="0" borderId="1" xfId="2" applyFont="1" applyBorder="1">
      <alignment vertical="center"/>
    </xf>
    <xf numFmtId="0" fontId="68" fillId="0" borderId="0" xfId="2" applyFont="1" applyAlignment="1">
      <alignment horizontal="right" vertical="center" wrapText="1"/>
    </xf>
    <xf numFmtId="0" fontId="68" fillId="0" borderId="0" xfId="2" applyFont="1">
      <alignment vertical="center"/>
    </xf>
    <xf numFmtId="0" fontId="68" fillId="0" borderId="0" xfId="2" applyFont="1" applyAlignment="1">
      <alignment horizontal="right" vertical="center"/>
    </xf>
    <xf numFmtId="0" fontId="68" fillId="0" borderId="8" xfId="2" applyFont="1" applyBorder="1">
      <alignment vertical="center"/>
    </xf>
    <xf numFmtId="0" fontId="69" fillId="0" borderId="2" xfId="1" applyFont="1" applyBorder="1" applyAlignment="1">
      <alignment horizontal="right" vertical="center" wrapText="1"/>
    </xf>
    <xf numFmtId="0" fontId="69" fillId="9" borderId="0" xfId="1" applyFont="1" applyFill="1" applyAlignment="1">
      <alignment horizontal="right" vertical="center" wrapText="1"/>
    </xf>
    <xf numFmtId="0" fontId="68" fillId="0" borderId="1" xfId="2" applyFont="1" applyBorder="1" applyAlignment="1">
      <alignment horizontal="left" vertical="center" wrapText="1"/>
    </xf>
    <xf numFmtId="0" fontId="68" fillId="0" borderId="1" xfId="2" applyFont="1" applyBorder="1" applyAlignment="1">
      <alignment horizontal="right" vertical="center" wrapText="1"/>
    </xf>
    <xf numFmtId="165" fontId="68" fillId="0" borderId="1" xfId="2" applyNumberFormat="1" applyFont="1" applyBorder="1" applyAlignment="1">
      <alignment horizontal="left" vertical="center"/>
    </xf>
    <xf numFmtId="0" fontId="68" fillId="0" borderId="1" xfId="2" applyFont="1" applyBorder="1" applyAlignment="1">
      <alignment vertical="center" wrapText="1"/>
    </xf>
    <xf numFmtId="0" fontId="69" fillId="0" borderId="0" xfId="1" applyFont="1" applyAlignment="1">
      <alignment horizontal="left" vertical="center" wrapText="1"/>
    </xf>
    <xf numFmtId="0" fontId="69" fillId="0" borderId="0" xfId="1" applyFont="1" applyAlignment="1">
      <alignment horizontal="right" vertical="center" wrapText="1"/>
    </xf>
    <xf numFmtId="0" fontId="69" fillId="0" borderId="1" xfId="1" applyFont="1" applyBorder="1" applyAlignment="1">
      <alignment horizontal="right" vertical="center" wrapText="1"/>
    </xf>
    <xf numFmtId="0" fontId="69" fillId="0" borderId="2" xfId="1" applyFont="1" applyBorder="1" applyAlignment="1">
      <alignment horizontal="left" vertical="center" wrapText="1"/>
    </xf>
    <xf numFmtId="0" fontId="69" fillId="9" borderId="1" xfId="1" applyFont="1" applyFill="1" applyBorder="1" applyAlignment="1">
      <alignment horizontal="left" vertical="center" wrapText="1"/>
    </xf>
    <xf numFmtId="0" fontId="69" fillId="12" borderId="0" xfId="1" applyFont="1" applyFill="1" applyAlignment="1">
      <alignment horizontal="right" vertical="center" wrapText="1"/>
    </xf>
    <xf numFmtId="0" fontId="69" fillId="9" borderId="1" xfId="1" applyFont="1" applyFill="1" applyBorder="1" applyAlignment="1">
      <alignment horizontal="right" vertical="center" wrapText="1"/>
    </xf>
    <xf numFmtId="0" fontId="69" fillId="9" borderId="1" xfId="3" applyFont="1" applyFill="1" applyBorder="1" applyAlignment="1">
      <alignment horizontal="right" vertical="center" wrapText="1"/>
    </xf>
    <xf numFmtId="0" fontId="69" fillId="11" borderId="1" xfId="1" applyFont="1" applyFill="1" applyBorder="1" applyAlignment="1">
      <alignment horizontal="right" vertical="center" wrapText="1"/>
    </xf>
    <xf numFmtId="0" fontId="69" fillId="13" borderId="2" xfId="1" applyFont="1" applyFill="1" applyBorder="1" applyAlignment="1">
      <alignment horizontal="right" vertical="center" wrapText="1"/>
    </xf>
    <xf numFmtId="0" fontId="70" fillId="11" borderId="1" xfId="1" applyFont="1" applyFill="1" applyBorder="1" applyAlignment="1">
      <alignment horizontal="center" vertical="center" wrapText="1"/>
    </xf>
    <xf numFmtId="0" fontId="70" fillId="11" borderId="0" xfId="1" applyFont="1" applyFill="1" applyAlignment="1">
      <alignment horizontal="right" vertical="center" wrapText="1"/>
    </xf>
    <xf numFmtId="0" fontId="69" fillId="11" borderId="0" xfId="1" applyFont="1" applyFill="1" applyAlignment="1">
      <alignment horizontal="right" vertical="center" wrapText="1"/>
    </xf>
    <xf numFmtId="0" fontId="68" fillId="11" borderId="1" xfId="2" applyFont="1" applyFill="1" applyBorder="1">
      <alignment vertical="center"/>
    </xf>
    <xf numFmtId="0" fontId="69" fillId="9" borderId="0" xfId="1" applyFont="1" applyFill="1" applyAlignment="1">
      <alignment horizontal="left" vertical="center" wrapText="1"/>
    </xf>
    <xf numFmtId="0" fontId="69" fillId="11" borderId="1" xfId="3" applyFont="1" applyFill="1" applyBorder="1" applyAlignment="1">
      <alignment horizontal="right" vertical="center" wrapText="1"/>
    </xf>
    <xf numFmtId="0" fontId="70" fillId="11" borderId="0" xfId="1" applyFont="1" applyFill="1" applyAlignment="1">
      <alignment horizontal="center" vertical="center"/>
    </xf>
    <xf numFmtId="0" fontId="70" fillId="11" borderId="1" xfId="1" applyFont="1" applyFill="1" applyBorder="1" applyAlignment="1">
      <alignment horizontal="center" vertical="center"/>
    </xf>
    <xf numFmtId="0" fontId="70" fillId="9" borderId="4" xfId="1" applyFont="1" applyFill="1" applyBorder="1" applyAlignment="1">
      <alignment horizontal="center" vertical="center" wrapText="1"/>
    </xf>
    <xf numFmtId="0" fontId="70" fillId="9" borderId="40" xfId="1" applyFont="1" applyFill="1" applyBorder="1" applyAlignment="1">
      <alignment horizontal="right" vertical="center" wrapText="1"/>
    </xf>
    <xf numFmtId="0" fontId="68" fillId="11" borderId="4" xfId="2" applyFont="1" applyFill="1" applyBorder="1" applyAlignment="1">
      <alignment vertical="center" wrapText="1"/>
    </xf>
    <xf numFmtId="0" fontId="68" fillId="11" borderId="0" xfId="2" applyFont="1" applyFill="1" applyAlignment="1">
      <alignment horizontal="right" vertical="center"/>
    </xf>
    <xf numFmtId="0" fontId="70" fillId="9" borderId="4" xfId="1" applyFont="1" applyFill="1" applyBorder="1" applyAlignment="1">
      <alignment horizontal="left" vertical="center" wrapText="1"/>
    </xf>
    <xf numFmtId="0" fontId="70" fillId="0" borderId="4" xfId="1" applyFont="1" applyBorder="1" applyAlignment="1">
      <alignment horizontal="left" vertical="center" wrapText="1"/>
    </xf>
    <xf numFmtId="0" fontId="70" fillId="0" borderId="40" xfId="1" applyFont="1" applyBorder="1" applyAlignment="1">
      <alignment vertical="center" wrapText="1"/>
    </xf>
    <xf numFmtId="0" fontId="70" fillId="0" borderId="40" xfId="2" applyFont="1" applyBorder="1">
      <alignment vertical="center"/>
    </xf>
    <xf numFmtId="0" fontId="70" fillId="9" borderId="3" xfId="1" applyFont="1" applyFill="1" applyBorder="1" applyAlignment="1">
      <alignment horizontal="right" vertical="center" wrapText="1"/>
    </xf>
    <xf numFmtId="0" fontId="68" fillId="0" borderId="0" xfId="2" applyFont="1" applyAlignment="1">
      <alignment vertical="center" wrapText="1"/>
    </xf>
    <xf numFmtId="0" fontId="71" fillId="11" borderId="1" xfId="1" applyFont="1" applyFill="1" applyBorder="1" applyAlignment="1">
      <alignment horizontal="left" vertical="center" wrapText="1"/>
    </xf>
    <xf numFmtId="0" fontId="69" fillId="11" borderId="1" xfId="1" applyFont="1" applyFill="1" applyBorder="1" applyAlignment="1">
      <alignment horizontal="left" vertical="center" wrapText="1"/>
    </xf>
    <xf numFmtId="0" fontId="72" fillId="11" borderId="1" xfId="1" applyFont="1" applyFill="1" applyBorder="1" applyAlignment="1">
      <alignment horizontal="left" vertical="center" wrapText="1"/>
    </xf>
    <xf numFmtId="0" fontId="68" fillId="11" borderId="0" xfId="2" applyFont="1" applyFill="1">
      <alignment vertical="center"/>
    </xf>
    <xf numFmtId="0" fontId="68" fillId="0" borderId="2" xfId="2" applyFont="1" applyBorder="1" applyAlignment="1">
      <alignment horizontal="right" vertical="center"/>
    </xf>
    <xf numFmtId="0" fontId="73" fillId="11" borderId="0" xfId="1" applyFont="1" applyFill="1" applyAlignment="1">
      <alignment horizontal="right" vertical="center" wrapText="1"/>
    </xf>
    <xf numFmtId="49" fontId="70" fillId="11" borderId="2" xfId="1" applyNumberFormat="1" applyFont="1" applyFill="1" applyBorder="1" applyAlignment="1">
      <alignment vertical="center" wrapText="1"/>
    </xf>
    <xf numFmtId="49" fontId="70" fillId="0" borderId="0" xfId="1" applyNumberFormat="1" applyFont="1" applyAlignment="1">
      <alignment horizontal="left" vertical="center" wrapText="1"/>
    </xf>
    <xf numFmtId="0" fontId="75" fillId="11" borderId="1" xfId="1" applyFont="1" applyFill="1" applyBorder="1" applyAlignment="1">
      <alignment horizontal="left" vertical="center" wrapText="1"/>
    </xf>
    <xf numFmtId="0" fontId="70" fillId="0" borderId="0" xfId="2" applyFont="1">
      <alignment vertical="center"/>
    </xf>
    <xf numFmtId="0" fontId="70" fillId="0" borderId="1" xfId="2" applyFont="1" applyBorder="1" applyAlignment="1">
      <alignment vertical="center" wrapText="1"/>
    </xf>
    <xf numFmtId="0" fontId="70" fillId="0" borderId="2" xfId="1" quotePrefix="1" applyFont="1" applyBorder="1" applyAlignment="1">
      <alignment horizontal="left" vertical="center" wrapText="1"/>
    </xf>
    <xf numFmtId="2" fontId="69" fillId="11" borderId="21" xfId="1" applyNumberFormat="1" applyFont="1" applyFill="1" applyBorder="1" applyAlignment="1">
      <alignment horizontal="left" vertical="center" wrapText="1"/>
    </xf>
    <xf numFmtId="2" fontId="69" fillId="0" borderId="20" xfId="1" applyNumberFormat="1" applyFont="1" applyBorder="1" applyAlignment="1">
      <alignment horizontal="left" vertical="center" wrapText="1"/>
    </xf>
    <xf numFmtId="2" fontId="69" fillId="0" borderId="11" xfId="1" applyNumberFormat="1" applyFont="1" applyBorder="1" applyAlignment="1">
      <alignment horizontal="left" vertical="center" wrapText="1"/>
    </xf>
    <xf numFmtId="2" fontId="69" fillId="0" borderId="21" xfId="1" applyNumberFormat="1" applyFont="1" applyBorder="1" applyAlignment="1">
      <alignment horizontal="left" vertical="center" wrapText="1"/>
    </xf>
    <xf numFmtId="166" fontId="68" fillId="0" borderId="21" xfId="2" applyNumberFormat="1" applyFont="1" applyBorder="1" applyAlignment="1">
      <alignment horizontal="left" vertical="center" wrapText="1"/>
    </xf>
    <xf numFmtId="0" fontId="76" fillId="0" borderId="1" xfId="2" applyFont="1" applyBorder="1" applyAlignment="1">
      <alignment vertical="center" wrapText="1"/>
    </xf>
    <xf numFmtId="0" fontId="76" fillId="0" borderId="0" xfId="2" applyFont="1" applyAlignment="1">
      <alignment vertical="center" wrapText="1"/>
    </xf>
    <xf numFmtId="2" fontId="77" fillId="0" borderId="0" xfId="1" applyNumberFormat="1" applyFont="1" applyAlignment="1">
      <alignment horizontal="left" vertical="center" wrapText="1"/>
    </xf>
    <xf numFmtId="2" fontId="77" fillId="11" borderId="1" xfId="1" applyNumberFormat="1" applyFont="1" applyFill="1" applyBorder="1" applyAlignment="1">
      <alignment horizontal="left" vertical="center" wrapText="1"/>
    </xf>
    <xf numFmtId="2" fontId="77" fillId="11" borderId="0" xfId="1" applyNumberFormat="1" applyFont="1" applyFill="1" applyAlignment="1">
      <alignment horizontal="left" vertical="center" wrapText="1"/>
    </xf>
    <xf numFmtId="0" fontId="76" fillId="11" borderId="1" xfId="2" applyFont="1" applyFill="1" applyBorder="1">
      <alignment vertical="center"/>
    </xf>
    <xf numFmtId="0" fontId="76" fillId="11" borderId="1" xfId="2" applyFont="1" applyFill="1" applyBorder="1" applyAlignment="1">
      <alignment vertical="center" wrapText="1"/>
    </xf>
    <xf numFmtId="0" fontId="76" fillId="0" borderId="1" xfId="2" applyFont="1" applyBorder="1" applyAlignment="1">
      <alignment horizontal="left" vertical="center" wrapText="1"/>
    </xf>
    <xf numFmtId="0" fontId="76" fillId="0" borderId="0" xfId="2" applyFont="1" applyAlignment="1">
      <alignment horizontal="left" vertical="center" wrapText="1"/>
    </xf>
    <xf numFmtId="0" fontId="69" fillId="0" borderId="9" xfId="1" applyFont="1" applyBorder="1" applyAlignment="1">
      <alignment horizontal="right" vertical="center" wrapText="1"/>
    </xf>
    <xf numFmtId="0" fontId="68" fillId="0" borderId="1" xfId="2" applyFont="1" applyBorder="1" applyAlignment="1">
      <alignment horizontal="right" vertical="center"/>
    </xf>
    <xf numFmtId="0" fontId="70" fillId="0" borderId="2" xfId="2" applyFont="1" applyBorder="1" applyAlignment="1">
      <alignment horizontal="left" vertical="center" wrapText="1"/>
    </xf>
    <xf numFmtId="0" fontId="71" fillId="0" borderId="1" xfId="1" applyFont="1" applyBorder="1" applyAlignment="1">
      <alignment horizontal="left" vertical="center" wrapText="1"/>
    </xf>
    <xf numFmtId="0" fontId="68" fillId="11" borderId="0" xfId="2" applyFont="1" applyFill="1" applyAlignment="1">
      <alignment horizontal="center" vertical="center" wrapText="1"/>
    </xf>
    <xf numFmtId="0" fontId="68" fillId="11" borderId="1" xfId="2" applyFont="1" applyFill="1" applyBorder="1" applyAlignment="1">
      <alignment horizontal="center" vertical="center" wrapText="1"/>
    </xf>
    <xf numFmtId="0" fontId="78" fillId="11" borderId="1" xfId="1" applyFont="1" applyFill="1" applyBorder="1" applyAlignment="1">
      <alignment horizontal="left" vertical="center" wrapText="1"/>
    </xf>
    <xf numFmtId="0" fontId="62" fillId="14" borderId="1" xfId="1" applyFont="1" applyFill="1" applyBorder="1" applyAlignment="1">
      <alignment horizontal="left" vertical="center" wrapText="1"/>
    </xf>
    <xf numFmtId="0" fontId="79" fillId="11" borderId="0" xfId="2" applyFont="1" applyFill="1">
      <alignment vertical="center"/>
    </xf>
    <xf numFmtId="0" fontId="79" fillId="0" borderId="0" xfId="2" applyFont="1" applyAlignment="1">
      <alignment horizontal="right" vertical="center"/>
    </xf>
    <xf numFmtId="0" fontId="80" fillId="11" borderId="1" xfId="1" applyFont="1" applyFill="1" applyBorder="1" applyAlignment="1">
      <alignment horizontal="left" vertical="center" wrapText="1"/>
    </xf>
    <xf numFmtId="0" fontId="17" fillId="0" borderId="0" xfId="0" applyFont="1">
      <alignment vertical="center"/>
    </xf>
    <xf numFmtId="0" fontId="10" fillId="0" borderId="0" xfId="1" applyFont="1" applyAlignment="1">
      <alignment horizontal="left" vertical="center" wrapText="1"/>
    </xf>
    <xf numFmtId="0" fontId="77" fillId="11" borderId="8" xfId="1" applyFont="1" applyFill="1" applyBorder="1" applyAlignment="1">
      <alignment horizontal="left" vertical="center" wrapText="1"/>
    </xf>
    <xf numFmtId="0" fontId="76" fillId="0" borderId="13" xfId="2" applyFont="1" applyBorder="1" applyAlignment="1">
      <alignment vertical="center" wrapText="1"/>
    </xf>
    <xf numFmtId="0" fontId="77" fillId="11" borderId="1" xfId="1" applyFont="1" applyFill="1" applyBorder="1" applyAlignment="1">
      <alignment horizontal="left" vertical="center" wrapText="1"/>
    </xf>
    <xf numFmtId="0" fontId="77" fillId="0" borderId="1" xfId="1" applyFont="1" applyBorder="1" applyAlignment="1">
      <alignment horizontal="left" vertical="center" wrapText="1"/>
    </xf>
    <xf numFmtId="0" fontId="76" fillId="0" borderId="1" xfId="2" applyFont="1" applyBorder="1">
      <alignment vertical="center"/>
    </xf>
    <xf numFmtId="0" fontId="76" fillId="0" borderId="2" xfId="2" applyFont="1" applyBorder="1" applyAlignment="1">
      <alignment vertical="center" wrapText="1"/>
    </xf>
    <xf numFmtId="0" fontId="76" fillId="11" borderId="0" xfId="2" applyFont="1" applyFill="1" applyAlignment="1">
      <alignment vertical="center" wrapText="1"/>
    </xf>
    <xf numFmtId="0" fontId="76" fillId="0" borderId="0" xfId="2" applyFont="1">
      <alignment vertical="center"/>
    </xf>
    <xf numFmtId="0" fontId="83" fillId="11" borderId="1" xfId="1" applyFont="1" applyFill="1" applyBorder="1" applyAlignment="1">
      <alignment horizontal="left" vertical="center" wrapText="1"/>
    </xf>
    <xf numFmtId="0" fontId="84" fillId="11" borderId="1" xfId="1" applyFont="1" applyFill="1" applyBorder="1" applyAlignment="1">
      <alignment horizontal="left" vertical="center" wrapText="1"/>
    </xf>
    <xf numFmtId="0" fontId="83" fillId="0" borderId="1" xfId="2" applyFont="1" applyBorder="1">
      <alignment vertical="center"/>
    </xf>
    <xf numFmtId="0" fontId="76" fillId="11" borderId="8" xfId="1" applyFont="1" applyFill="1" applyBorder="1" applyAlignment="1">
      <alignment horizontal="left" vertical="center" wrapText="1"/>
    </xf>
    <xf numFmtId="0" fontId="62" fillId="14" borderId="0" xfId="1" applyFont="1" applyFill="1" applyAlignment="1">
      <alignment horizontal="left" vertical="center" wrapText="1"/>
    </xf>
    <xf numFmtId="0" fontId="67" fillId="0" borderId="0" xfId="1" applyFont="1" applyAlignment="1">
      <alignment horizontal="left" vertical="center" wrapText="1"/>
    </xf>
    <xf numFmtId="0" fontId="63" fillId="0" borderId="15" xfId="0" applyFont="1" applyBorder="1" applyAlignment="1">
      <alignment vertical="center" wrapText="1"/>
    </xf>
    <xf numFmtId="0" fontId="88" fillId="0" borderId="0" xfId="0" applyFont="1" applyAlignment="1">
      <alignment vertical="center" wrapText="1"/>
    </xf>
    <xf numFmtId="0" fontId="89" fillId="0" borderId="14" xfId="0" applyFont="1" applyBorder="1" applyAlignment="1">
      <alignment vertical="center" wrapText="1"/>
    </xf>
    <xf numFmtId="0" fontId="89" fillId="0" borderId="27" xfId="0" applyFont="1" applyBorder="1" applyAlignment="1">
      <alignment vertical="center" wrapText="1"/>
    </xf>
    <xf numFmtId="0" fontId="76" fillId="0" borderId="8" xfId="2" applyFont="1" applyBorder="1">
      <alignment vertical="center"/>
    </xf>
    <xf numFmtId="0" fontId="90" fillId="0" borderId="0" xfId="0" applyFont="1">
      <alignment vertical="center"/>
    </xf>
    <xf numFmtId="0" fontId="36" fillId="0" borderId="22" xfId="4" applyFont="1" applyFill="1" applyBorder="1" applyAlignment="1">
      <alignment horizontal="left" vertical="center" wrapText="1"/>
    </xf>
    <xf numFmtId="0" fontId="62" fillId="0" borderId="16" xfId="1" applyFont="1" applyBorder="1" applyAlignment="1">
      <alignment horizontal="left" vertical="center" wrapText="1"/>
    </xf>
    <xf numFmtId="0" fontId="88" fillId="0" borderId="14" xfId="0" applyFont="1" applyBorder="1">
      <alignment vertical="center"/>
    </xf>
    <xf numFmtId="0" fontId="76" fillId="0" borderId="14" xfId="2" applyFont="1" applyBorder="1">
      <alignment vertical="center"/>
    </xf>
    <xf numFmtId="0" fontId="82" fillId="0" borderId="8" xfId="1" applyFont="1" applyBorder="1" applyAlignment="1">
      <alignment horizontal="left" vertical="center" wrapText="1"/>
    </xf>
    <xf numFmtId="0" fontId="85" fillId="0" borderId="1" xfId="1" applyFont="1" applyBorder="1" applyAlignment="1">
      <alignment horizontal="left" vertical="center" wrapText="1"/>
    </xf>
    <xf numFmtId="0" fontId="83" fillId="0" borderId="1" xfId="1" applyFont="1" applyBorder="1" applyAlignment="1">
      <alignment horizontal="left" vertical="center" wrapText="1"/>
    </xf>
    <xf numFmtId="0" fontId="82" fillId="0" borderId="1" xfId="1" applyFont="1" applyBorder="1" applyAlignment="1">
      <alignment horizontal="left" vertical="center" wrapText="1"/>
    </xf>
    <xf numFmtId="0" fontId="87" fillId="0" borderId="1" xfId="1" applyFont="1" applyBorder="1" applyAlignment="1">
      <alignment horizontal="left" vertical="center" wrapText="1"/>
    </xf>
    <xf numFmtId="0" fontId="92" fillId="14" borderId="1" xfId="1" applyFont="1" applyFill="1" applyBorder="1" applyAlignment="1">
      <alignment horizontal="left" vertical="center" wrapText="1"/>
    </xf>
    <xf numFmtId="0" fontId="62" fillId="14" borderId="16" xfId="1" applyFont="1" applyFill="1" applyBorder="1" applyAlignment="1">
      <alignment horizontal="left" vertical="center" wrapText="1"/>
    </xf>
    <xf numFmtId="0" fontId="17" fillId="0" borderId="0" xfId="2" applyFont="1" applyAlignment="1">
      <alignment horizontal="right" vertical="center" wrapText="1"/>
    </xf>
    <xf numFmtId="0" fontId="34" fillId="0" borderId="0" xfId="2" applyFont="1" applyAlignment="1">
      <alignment horizontal="right" vertical="center" wrapText="1"/>
    </xf>
    <xf numFmtId="0" fontId="64" fillId="0" borderId="0" xfId="1" applyFont="1" applyAlignment="1">
      <alignment horizontal="left" vertical="center" wrapText="1"/>
    </xf>
    <xf numFmtId="0" fontId="65" fillId="0" borderId="0" xfId="1" applyFont="1" applyAlignment="1">
      <alignment horizontal="left" vertical="center" wrapText="1"/>
    </xf>
    <xf numFmtId="0" fontId="76" fillId="0" borderId="0" xfId="2" applyFont="1" applyAlignment="1">
      <alignment horizontal="right" vertical="center" wrapText="1"/>
    </xf>
    <xf numFmtId="0" fontId="76" fillId="0" borderId="0" xfId="2" applyFont="1" applyAlignment="1">
      <alignment horizontal="right" vertical="center"/>
    </xf>
    <xf numFmtId="0" fontId="76" fillId="0" borderId="1" xfId="1" applyFont="1" applyBorder="1" applyAlignment="1">
      <alignment horizontal="left" vertical="center" wrapText="1"/>
    </xf>
    <xf numFmtId="0" fontId="84" fillId="0" borderId="1" xfId="1" applyFont="1" applyBorder="1" applyAlignment="1">
      <alignment horizontal="left" vertical="center" wrapText="1"/>
    </xf>
    <xf numFmtId="0" fontId="88" fillId="0" borderId="1" xfId="0" applyFont="1" applyBorder="1">
      <alignment vertical="center"/>
    </xf>
    <xf numFmtId="0" fontId="88" fillId="0" borderId="15" xfId="0" applyFont="1" applyBorder="1" applyAlignment="1">
      <alignment vertical="center" wrapText="1"/>
    </xf>
    <xf numFmtId="0" fontId="76" fillId="0" borderId="0" xfId="0" applyFont="1" applyAlignment="1">
      <alignment vertical="center" wrapText="1"/>
    </xf>
    <xf numFmtId="0" fontId="81" fillId="11" borderId="1" xfId="1" applyFont="1" applyFill="1" applyBorder="1" applyAlignment="1">
      <alignment horizontal="left" vertical="center" wrapText="1"/>
    </xf>
    <xf numFmtId="0" fontId="68" fillId="0" borderId="1" xfId="2" applyFont="1" applyBorder="1" applyAlignment="1">
      <alignment horizontal="left" vertical="center"/>
    </xf>
    <xf numFmtId="0" fontId="93" fillId="0" borderId="1" xfId="1" applyFont="1" applyBorder="1" applyAlignment="1">
      <alignment horizontal="left" vertical="center" wrapText="1"/>
    </xf>
    <xf numFmtId="0" fontId="81" fillId="14" borderId="1" xfId="1" applyFont="1" applyFill="1" applyBorder="1" applyAlignment="1">
      <alignment horizontal="left" vertical="center" wrapText="1"/>
    </xf>
    <xf numFmtId="0" fontId="76" fillId="14" borderId="0" xfId="2" applyFont="1" applyFill="1" applyAlignment="1">
      <alignment vertical="center" wrapText="1"/>
    </xf>
    <xf numFmtId="0" fontId="85" fillId="14" borderId="1" xfId="1" applyFont="1" applyFill="1" applyBorder="1" applyAlignment="1">
      <alignment horizontal="left" vertical="center" wrapText="1"/>
    </xf>
    <xf numFmtId="0" fontId="82" fillId="14" borderId="1" xfId="1" applyFont="1" applyFill="1" applyBorder="1" applyAlignment="1">
      <alignment horizontal="left" vertical="center" wrapText="1"/>
    </xf>
    <xf numFmtId="0" fontId="81" fillId="0" borderId="1" xfId="1" applyFont="1" applyBorder="1" applyAlignment="1">
      <alignment horizontal="left" vertical="center" wrapText="1"/>
    </xf>
    <xf numFmtId="0" fontId="62" fillId="0" borderId="0" xfId="1" applyFont="1" applyAlignment="1">
      <alignment horizontal="left" vertical="center" wrapText="1"/>
    </xf>
    <xf numFmtId="0" fontId="74" fillId="11" borderId="1" xfId="1" applyFont="1" applyFill="1" applyBorder="1" applyAlignment="1">
      <alignment horizontal="left" vertical="center" wrapText="1"/>
    </xf>
    <xf numFmtId="0" fontId="70" fillId="26" borderId="1" xfId="2" applyFont="1" applyFill="1" applyBorder="1" applyAlignment="1">
      <alignment vertical="center" wrapText="1"/>
    </xf>
    <xf numFmtId="0" fontId="70" fillId="26" borderId="2" xfId="1" quotePrefix="1" applyFont="1" applyFill="1" applyBorder="1" applyAlignment="1">
      <alignment horizontal="left" vertical="center" wrapText="1"/>
    </xf>
    <xf numFmtId="0" fontId="77" fillId="11" borderId="0" xfId="2" applyFont="1" applyFill="1" applyAlignment="1">
      <alignment vertical="center" wrapText="1"/>
    </xf>
    <xf numFmtId="0" fontId="46" fillId="9" borderId="17" xfId="4" applyFont="1" applyFill="1" applyBorder="1" applyAlignment="1">
      <alignment horizontal="center" vertical="center" wrapText="1"/>
    </xf>
    <xf numFmtId="0" fontId="46" fillId="9" borderId="18" xfId="4" applyFont="1" applyFill="1" applyBorder="1" applyAlignment="1">
      <alignment horizontal="center" vertical="center" wrapText="1"/>
    </xf>
    <xf numFmtId="0" fontId="46" fillId="9" borderId="19" xfId="4" applyFont="1" applyFill="1" applyBorder="1" applyAlignment="1">
      <alignment horizontal="center" vertical="center" wrapText="1"/>
    </xf>
    <xf numFmtId="0" fontId="46" fillId="9" borderId="22" xfId="4" applyFont="1" applyFill="1" applyBorder="1" applyAlignment="1">
      <alignment horizontal="center" vertical="center" wrapText="1"/>
    </xf>
    <xf numFmtId="0" fontId="46" fillId="9" borderId="16" xfId="4" applyFont="1" applyFill="1" applyBorder="1" applyAlignment="1">
      <alignment horizontal="center" vertical="center" wrapText="1"/>
    </xf>
    <xf numFmtId="0" fontId="46" fillId="9" borderId="23" xfId="4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36" fillId="0" borderId="17" xfId="4" applyFont="1" applyFill="1" applyBorder="1" applyAlignment="1">
      <alignment horizontal="center" vertical="center" wrapText="1"/>
    </xf>
    <xf numFmtId="0" fontId="36" fillId="0" borderId="0" xfId="4" applyFont="1" applyFill="1" applyBorder="1" applyAlignment="1">
      <alignment horizontal="center" vertical="center" wrapText="1"/>
    </xf>
    <xf numFmtId="0" fontId="36" fillId="0" borderId="18" xfId="4" applyFont="1" applyFill="1" applyBorder="1" applyAlignment="1">
      <alignment horizontal="center" vertical="center" wrapText="1"/>
    </xf>
    <xf numFmtId="0" fontId="36" fillId="0" borderId="19" xfId="4" applyFont="1" applyFill="1" applyBorder="1" applyAlignment="1">
      <alignment horizontal="center" vertical="center" wrapText="1"/>
    </xf>
    <xf numFmtId="0" fontId="36" fillId="0" borderId="22" xfId="4" applyFont="1" applyFill="1" applyBorder="1" applyAlignment="1">
      <alignment horizontal="center" vertical="center" wrapText="1"/>
    </xf>
    <xf numFmtId="0" fontId="36" fillId="0" borderId="16" xfId="4" applyFont="1" applyFill="1" applyBorder="1" applyAlignment="1">
      <alignment horizontal="center" vertical="center" wrapText="1"/>
    </xf>
    <xf numFmtId="0" fontId="36" fillId="0" borderId="23" xfId="4" applyFont="1" applyFill="1" applyBorder="1" applyAlignment="1">
      <alignment horizontal="center" vertical="center" wrapText="1"/>
    </xf>
    <xf numFmtId="0" fontId="36" fillId="0" borderId="17" xfId="4" applyFont="1" applyFill="1" applyBorder="1" applyAlignment="1">
      <alignment horizontal="left" vertical="center" wrapText="1"/>
    </xf>
    <xf numFmtId="0" fontId="36" fillId="0" borderId="18" xfId="4" applyFont="1" applyFill="1" applyBorder="1" applyAlignment="1">
      <alignment horizontal="left" vertical="center" wrapText="1"/>
    </xf>
    <xf numFmtId="0" fontId="36" fillId="0" borderId="19" xfId="4" applyFont="1" applyFill="1" applyBorder="1" applyAlignment="1">
      <alignment horizontal="left" vertical="center" wrapText="1"/>
    </xf>
    <xf numFmtId="0" fontId="36" fillId="0" borderId="22" xfId="4" applyFont="1" applyFill="1" applyBorder="1" applyAlignment="1">
      <alignment horizontal="left" vertical="center" wrapText="1"/>
    </xf>
    <xf numFmtId="0" fontId="36" fillId="0" borderId="16" xfId="4" applyFont="1" applyFill="1" applyBorder="1" applyAlignment="1">
      <alignment horizontal="left" vertical="center" wrapText="1"/>
    </xf>
    <xf numFmtId="0" fontId="36" fillId="0" borderId="23" xfId="4" applyFont="1" applyFill="1" applyBorder="1" applyAlignment="1">
      <alignment horizontal="left" vertical="center" wrapText="1"/>
    </xf>
    <xf numFmtId="0" fontId="36" fillId="9" borderId="24" xfId="4" applyFont="1" applyFill="1" applyBorder="1" applyAlignment="1">
      <alignment horizontal="center" vertical="center" wrapText="1"/>
    </xf>
    <xf numFmtId="0" fontId="36" fillId="9" borderId="25" xfId="4" applyFont="1" applyFill="1" applyBorder="1" applyAlignment="1">
      <alignment horizontal="center" vertical="center" wrapText="1"/>
    </xf>
    <xf numFmtId="0" fontId="36" fillId="9" borderId="17" xfId="4" applyFont="1" applyFill="1" applyBorder="1" applyAlignment="1">
      <alignment horizontal="center" vertical="center" wrapText="1"/>
    </xf>
    <xf numFmtId="0" fontId="36" fillId="9" borderId="18" xfId="4" applyFont="1" applyFill="1" applyBorder="1" applyAlignment="1">
      <alignment horizontal="center" vertical="center" wrapText="1"/>
    </xf>
    <xf numFmtId="0" fontId="36" fillId="9" borderId="19" xfId="4" applyFont="1" applyFill="1" applyBorder="1" applyAlignment="1">
      <alignment horizontal="center" vertical="center" wrapText="1"/>
    </xf>
    <xf numFmtId="0" fontId="36" fillId="9" borderId="22" xfId="4" applyFont="1" applyFill="1" applyBorder="1" applyAlignment="1">
      <alignment horizontal="center" vertical="center" wrapText="1"/>
    </xf>
    <xf numFmtId="0" fontId="36" fillId="9" borderId="16" xfId="4" applyFont="1" applyFill="1" applyBorder="1" applyAlignment="1">
      <alignment horizontal="center" vertical="center" wrapText="1"/>
    </xf>
    <xf numFmtId="0" fontId="36" fillId="9" borderId="23" xfId="4" applyFont="1" applyFill="1" applyBorder="1" applyAlignment="1">
      <alignment horizontal="center" vertical="center" wrapText="1"/>
    </xf>
  </cellXfs>
  <cellStyles count="8">
    <cellStyle name="20% - Accent5 2" xfId="4" xr:uid="{00000000-0005-0000-0000-000000000000}"/>
    <cellStyle name="20% - 輔色6 3 2 2 2 2" xfId="7" xr:uid="{00000000-0005-0000-0000-000001000000}"/>
    <cellStyle name="40% - Accent5 2" xfId="6" xr:uid="{00000000-0005-0000-0000-000002000000}"/>
    <cellStyle name="Normal" xfId="0" builtinId="0"/>
    <cellStyle name="Normal 2" xfId="5" xr:uid="{00000000-0005-0000-0000-000003000000}"/>
    <cellStyle name="Normal 2 2" xfId="3" xr:uid="{00000000-0005-0000-0000-000004000000}"/>
    <cellStyle name="一般 2" xfId="1" xr:uid="{00000000-0005-0000-0000-000006000000}"/>
    <cellStyle name="一般 4 2 2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2"/>
  <sheetViews>
    <sheetView zoomScale="25" zoomScaleNormal="25" workbookViewId="0">
      <selection activeCell="J15" sqref="J15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45877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/>
      <c r="F3" s="24" t="s">
        <v>198</v>
      </c>
      <c r="G3" s="20"/>
      <c r="H3" s="22" t="s">
        <v>47</v>
      </c>
      <c r="I3" s="26"/>
      <c r="J3" s="24" t="s">
        <v>14</v>
      </c>
      <c r="K3" s="26"/>
      <c r="L3" s="24" t="s">
        <v>216</v>
      </c>
      <c r="N3" s="22" t="s">
        <v>16</v>
      </c>
      <c r="O3" s="26" t="s">
        <v>39</v>
      </c>
      <c r="P3" s="586" t="s">
        <v>17</v>
      </c>
      <c r="Q3" s="587"/>
      <c r="R3" s="587"/>
      <c r="S3" s="588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34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M4" s="26"/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/>
      <c r="E5" s="26"/>
      <c r="F5" s="24" t="s">
        <v>13</v>
      </c>
      <c r="G5" s="25" t="s">
        <v>229</v>
      </c>
      <c r="H5" s="24" t="s">
        <v>37</v>
      </c>
      <c r="I5" s="25"/>
      <c r="J5" s="24"/>
      <c r="K5" s="26"/>
      <c r="L5" s="24" t="s">
        <v>38</v>
      </c>
      <c r="M5" s="26"/>
      <c r="N5" s="24" t="s">
        <v>13</v>
      </c>
      <c r="O5" s="21" t="s">
        <v>230</v>
      </c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/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126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231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2.5</v>
      </c>
      <c r="H9" s="63">
        <v>3</v>
      </c>
      <c r="I9" s="62">
        <f>H9-I11</f>
        <v>3</v>
      </c>
      <c r="J9" s="61"/>
      <c r="K9" s="60">
        <v>2</v>
      </c>
      <c r="L9" s="64">
        <v>4</v>
      </c>
      <c r="M9" s="62">
        <f>L9-M11</f>
        <v>3.6</v>
      </c>
      <c r="N9" s="56">
        <v>1.75</v>
      </c>
      <c r="O9" s="65">
        <f>N9-O11</f>
        <v>1.05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412"/>
      <c r="F11" s="85"/>
      <c r="G11" s="413"/>
      <c r="H11" s="414" t="s">
        <v>53</v>
      </c>
      <c r="I11" s="415">
        <v>0</v>
      </c>
      <c r="J11" s="85"/>
      <c r="K11" s="416"/>
      <c r="L11" s="414" t="s">
        <v>53</v>
      </c>
      <c r="M11" s="417">
        <v>0.4</v>
      </c>
      <c r="N11" s="85" t="s">
        <v>54</v>
      </c>
      <c r="O11" s="411">
        <v>0.7</v>
      </c>
      <c r="P11" s="92" t="s">
        <v>232</v>
      </c>
      <c r="Q11" s="92" t="s">
        <v>233</v>
      </c>
      <c r="R11" s="92" t="s">
        <v>210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409" t="s">
        <v>58</v>
      </c>
      <c r="B12" s="397" t="s">
        <v>234</v>
      </c>
      <c r="C12" s="107" t="s">
        <v>235</v>
      </c>
      <c r="D12" s="99" t="s">
        <v>60</v>
      </c>
      <c r="E12" s="193" t="s">
        <v>59</v>
      </c>
      <c r="F12" s="407" t="s">
        <v>61</v>
      </c>
      <c r="G12" s="193" t="s">
        <v>59</v>
      </c>
      <c r="H12" s="99" t="s">
        <v>62</v>
      </c>
      <c r="I12" s="107" t="s">
        <v>59</v>
      </c>
      <c r="J12" s="99" t="s">
        <v>63</v>
      </c>
      <c r="K12" s="107" t="s">
        <v>59</v>
      </c>
      <c r="L12" s="99" t="s">
        <v>64</v>
      </c>
      <c r="M12" s="193" t="s">
        <v>59</v>
      </c>
      <c r="N12" s="407" t="s">
        <v>65</v>
      </c>
      <c r="O12" s="193" t="s">
        <v>59</v>
      </c>
      <c r="P12" s="92" t="s">
        <v>60</v>
      </c>
      <c r="Q12" s="92" t="s">
        <v>218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 thickBot="1">
      <c r="A13" s="19"/>
      <c r="B13" s="391" t="s">
        <v>193</v>
      </c>
      <c r="C13" s="193" t="s">
        <v>39</v>
      </c>
      <c r="D13" s="395" t="s">
        <v>202</v>
      </c>
      <c r="E13" s="193" t="s">
        <v>87</v>
      </c>
      <c r="F13" s="404" t="s">
        <v>71</v>
      </c>
      <c r="G13" s="193" t="s">
        <v>194</v>
      </c>
      <c r="H13" s="391" t="s">
        <v>73</v>
      </c>
      <c r="I13" s="193" t="s">
        <v>191</v>
      </c>
      <c r="J13" s="391"/>
      <c r="K13" s="193"/>
      <c r="L13" s="391" t="s">
        <v>210</v>
      </c>
      <c r="M13" s="193" t="s">
        <v>59</v>
      </c>
      <c r="N13" s="391"/>
      <c r="O13" s="193"/>
      <c r="P13" s="92" t="s">
        <v>75</v>
      </c>
      <c r="Q13" s="92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 thickBot="1">
      <c r="A14" s="19"/>
      <c r="B14" s="395" t="s">
        <v>200</v>
      </c>
      <c r="C14" s="20" t="s">
        <v>225</v>
      </c>
      <c r="D14" s="108"/>
      <c r="E14" s="20"/>
      <c r="F14" s="99"/>
      <c r="G14" s="197"/>
      <c r="H14" s="391"/>
      <c r="I14" s="20"/>
      <c r="J14" s="108"/>
      <c r="K14" s="193"/>
      <c r="L14" s="404" t="s">
        <v>71</v>
      </c>
      <c r="M14" s="193" t="s">
        <v>78</v>
      </c>
      <c r="N14" s="408"/>
      <c r="O14" s="107"/>
      <c r="P14" s="109" t="s">
        <v>206</v>
      </c>
      <c r="Q14" s="92" t="s">
        <v>207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82</v>
      </c>
      <c r="Q15" s="92" t="s">
        <v>236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237</v>
      </c>
      <c r="Q16" s="131" t="s">
        <v>71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125" t="s">
        <v>66</v>
      </c>
      <c r="E17" s="139" t="s">
        <v>85</v>
      </c>
      <c r="F17" s="125" t="s">
        <v>66</v>
      </c>
      <c r="G17" s="127" t="s">
        <v>221</v>
      </c>
      <c r="H17" s="125"/>
      <c r="I17" s="140"/>
      <c r="J17" s="46"/>
      <c r="L17" s="125" t="s">
        <v>73</v>
      </c>
      <c r="M17" s="140" t="s">
        <v>74</v>
      </c>
      <c r="N17" s="141" t="s">
        <v>54</v>
      </c>
      <c r="O17" s="142">
        <v>0.4</v>
      </c>
      <c r="P17" s="589" t="s">
        <v>195</v>
      </c>
      <c r="Q17" s="590"/>
      <c r="R17" s="591"/>
      <c r="S17" s="592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1.8367346938775506</v>
      </c>
      <c r="C18" s="149"/>
      <c r="D18" s="150">
        <f>D52</f>
        <v>1.2244897959183672</v>
      </c>
      <c r="E18" s="149"/>
      <c r="F18" s="148">
        <f>F52</f>
        <v>1.5306122448979589</v>
      </c>
      <c r="G18" s="150"/>
      <c r="H18" s="148">
        <f>H52</f>
        <v>1.8367346938775506</v>
      </c>
      <c r="I18" s="150"/>
      <c r="J18" s="148">
        <f>J52</f>
        <v>1.2244897959183672</v>
      </c>
      <c r="K18" s="150"/>
      <c r="L18" s="151">
        <f>L52</f>
        <v>2.204081632653061</v>
      </c>
      <c r="M18" s="149"/>
      <c r="N18" s="152">
        <f>N52</f>
        <v>0.64285714285714279</v>
      </c>
      <c r="O18" s="149">
        <f>N18+O17</f>
        <v>1.0428571428571427</v>
      </c>
      <c r="P18" s="593"/>
      <c r="Q18" s="594"/>
      <c r="R18" s="594"/>
      <c r="S18" s="595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56"/>
      <c r="I19" s="107"/>
      <c r="J19" s="159"/>
      <c r="K19" s="160"/>
      <c r="L19" s="56"/>
      <c r="M19" s="107"/>
      <c r="N19" s="56"/>
      <c r="O19" s="107"/>
      <c r="P19" s="596" t="s">
        <v>90</v>
      </c>
      <c r="Q19" s="597"/>
      <c r="R19" s="597"/>
      <c r="S19" s="598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599"/>
      <c r="Q20" s="600"/>
      <c r="R20" s="600"/>
      <c r="S20" s="601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02" t="s">
        <v>93</v>
      </c>
      <c r="R22" s="602"/>
      <c r="S22" s="603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04"/>
      <c r="Q23" s="605"/>
      <c r="R23" s="605"/>
      <c r="S23" s="606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07"/>
      <c r="Q24" s="608"/>
      <c r="R24" s="608"/>
      <c r="S24" s="609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Q27" s="49"/>
      <c r="R27" s="189" t="s">
        <v>228</v>
      </c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17.962099125364418</v>
      </c>
      <c r="C31" s="218"/>
      <c r="D31" s="219">
        <f>D45</f>
        <v>-13.358600583090386</v>
      </c>
      <c r="E31" s="220"/>
      <c r="F31" s="221">
        <f>F45</f>
        <v>1.8017492711370124</v>
      </c>
      <c r="G31" s="221"/>
      <c r="H31" s="217">
        <f>H45</f>
        <v>25.962099125364418</v>
      </c>
      <c r="I31" s="218"/>
      <c r="J31" s="217">
        <f>J45</f>
        <v>-9.3586005830903858</v>
      </c>
      <c r="K31" s="222"/>
      <c r="L31" s="217">
        <f>L45</f>
        <v>-0.84548104956269299</v>
      </c>
      <c r="M31" s="222"/>
      <c r="N31" s="152">
        <f>N45</f>
        <v>-22.163265306122451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23</v>
      </c>
      <c r="E32" s="229" t="s">
        <v>99</v>
      </c>
      <c r="F32" s="390"/>
      <c r="G32" s="393"/>
      <c r="H32" s="405"/>
      <c r="I32" s="406"/>
      <c r="J32" s="24" t="s">
        <v>100</v>
      </c>
      <c r="K32" s="229" t="s">
        <v>238</v>
      </c>
      <c r="L32" s="22"/>
      <c r="M32" s="107"/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 t="s">
        <v>16</v>
      </c>
      <c r="O33" s="229" t="s">
        <v>239</v>
      </c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520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80"/>
      <c r="U41" s="581"/>
      <c r="V41" s="581"/>
      <c r="W41" s="582"/>
      <c r="X41" s="302"/>
      <c r="Y41" s="303"/>
    </row>
    <row r="42" spans="1:34" ht="73" thickBot="1">
      <c r="A42" s="304" t="s">
        <v>136</v>
      </c>
      <c r="B42" s="305">
        <f>SUM(B44:R44)</f>
        <v>17.150000000000002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83"/>
      <c r="U42" s="584"/>
      <c r="V42" s="584"/>
      <c r="W42" s="585"/>
      <c r="X42" s="302"/>
      <c r="Y42" s="303"/>
    </row>
    <row r="43" spans="1:34" ht="72">
      <c r="A43" s="304" t="s">
        <v>137</v>
      </c>
      <c r="B43" s="294">
        <f>B41/B42</f>
        <v>30.320699708454807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</v>
      </c>
      <c r="E44" s="297"/>
      <c r="F44" s="296">
        <f>G9</f>
        <v>2.5</v>
      </c>
      <c r="G44" s="297"/>
      <c r="H44" s="278">
        <f>I9</f>
        <v>3</v>
      </c>
      <c r="I44" s="299"/>
      <c r="J44" s="278">
        <f>K9</f>
        <v>2</v>
      </c>
      <c r="K44" s="299"/>
      <c r="L44" s="278">
        <f>M9</f>
        <v>3.6</v>
      </c>
      <c r="M44" s="299"/>
      <c r="N44" s="311">
        <f>O9</f>
        <v>1.05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17.962099125364418</v>
      </c>
      <c r="C45" s="295"/>
      <c r="D45" s="318">
        <f>B41/B42*D44-D46</f>
        <v>-13.358600583090386</v>
      </c>
      <c r="E45" s="319"/>
      <c r="F45" s="318">
        <f>B41/B42*F44-F46</f>
        <v>1.8017492711370124</v>
      </c>
      <c r="G45" s="320"/>
      <c r="H45" s="321">
        <f>B41/B42*H44-H46</f>
        <v>25.962099125364418</v>
      </c>
      <c r="I45" s="322"/>
      <c r="J45" s="321">
        <f>B41/B42*J44-J46</f>
        <v>-9.3586005830903858</v>
      </c>
      <c r="K45" s="322"/>
      <c r="L45" s="321">
        <f>B41/B42*L44-L46</f>
        <v>-0.84548104956269299</v>
      </c>
      <c r="M45" s="322"/>
      <c r="N45" s="311">
        <f>B41/B42*N44-N46</f>
        <v>-22.163265306122451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110</v>
      </c>
      <c r="M46" s="322"/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10.5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49.523809523809526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90.962099125364418</v>
      </c>
      <c r="C51" s="354"/>
      <c r="D51" s="354">
        <f>B43*D44</f>
        <v>60.641399416909614</v>
      </c>
      <c r="E51" s="354"/>
      <c r="F51" s="354">
        <f>B43*F44</f>
        <v>75.801749271137012</v>
      </c>
      <c r="G51" s="354"/>
      <c r="H51" s="359">
        <f>B43*H44</f>
        <v>90.962099125364418</v>
      </c>
      <c r="I51" s="354"/>
      <c r="J51" s="354">
        <f>B43*J44</f>
        <v>60.641399416909614</v>
      </c>
      <c r="K51" s="354"/>
      <c r="L51" s="359">
        <f>B43*L44</f>
        <v>109.15451895043731</v>
      </c>
      <c r="M51" s="354"/>
      <c r="N51" s="354">
        <f>B43*N44</f>
        <v>31.836734693877549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1.8367346938775506</v>
      </c>
      <c r="C52" s="354"/>
      <c r="D52" s="354">
        <f>D51/B50</f>
        <v>1.2244897959183672</v>
      </c>
      <c r="E52" s="354"/>
      <c r="F52" s="354">
        <f>F51/B50</f>
        <v>1.5306122448979589</v>
      </c>
      <c r="G52" s="354"/>
      <c r="H52" s="354">
        <f>H51/B50</f>
        <v>1.8367346938775506</v>
      </c>
      <c r="I52" s="354"/>
      <c r="J52" s="354">
        <f>J51/B50</f>
        <v>1.2244897959183672</v>
      </c>
      <c r="K52" s="354"/>
      <c r="L52" s="359">
        <f>L51/B50</f>
        <v>2.204081632653061</v>
      </c>
      <c r="M52" s="354"/>
      <c r="N52" s="354">
        <f>N51/B50</f>
        <v>0.64285714285714279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1.85</v>
      </c>
      <c r="H70" s="376">
        <v>0</v>
      </c>
      <c r="I70" s="377">
        <v>0</v>
      </c>
      <c r="J70" s="376">
        <f>SUM(C70:H70)</f>
        <v>3.5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0.75</v>
      </c>
      <c r="D74" s="382">
        <f>IF(OR(E1="Monday",E1="Friday"),0.25,0.5)</f>
        <v>0.25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02"/>
  <sheetViews>
    <sheetView topLeftCell="C1" zoomScale="25" zoomScaleNormal="25" workbookViewId="0">
      <selection activeCell="G13" sqref="G1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45881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23</v>
      </c>
      <c r="E3" s="23"/>
      <c r="F3" s="24" t="s">
        <v>198</v>
      </c>
      <c r="G3" s="20"/>
      <c r="H3" s="22" t="s">
        <v>47</v>
      </c>
      <c r="I3" s="26"/>
      <c r="J3" s="24" t="s">
        <v>100</v>
      </c>
      <c r="K3" s="26"/>
      <c r="L3" s="24" t="s">
        <v>216</v>
      </c>
      <c r="N3" s="22" t="s">
        <v>16</v>
      </c>
      <c r="O3" s="26"/>
      <c r="P3" s="586" t="s">
        <v>17</v>
      </c>
      <c r="Q3" s="587"/>
      <c r="R3" s="587"/>
      <c r="S3" s="588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34</v>
      </c>
      <c r="E4" s="26"/>
      <c r="F4" s="24" t="s">
        <v>245</v>
      </c>
      <c r="G4" s="21"/>
      <c r="H4" s="24" t="s">
        <v>25</v>
      </c>
      <c r="I4" s="26"/>
      <c r="J4" s="24" t="s">
        <v>26</v>
      </c>
      <c r="K4" s="32"/>
      <c r="L4" s="24" t="s">
        <v>38</v>
      </c>
      <c r="M4" s="26"/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/>
      <c r="E5" s="26"/>
      <c r="F5" s="24"/>
      <c r="G5" s="26"/>
      <c r="H5" s="24" t="s">
        <v>37</v>
      </c>
      <c r="I5" s="25"/>
      <c r="J5" s="24"/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/>
      <c r="M6" s="26"/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3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246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</v>
      </c>
      <c r="H9" s="63">
        <v>3</v>
      </c>
      <c r="I9" s="62">
        <f>H9-I11</f>
        <v>2.6</v>
      </c>
      <c r="J9" s="61"/>
      <c r="K9" s="60">
        <v>2</v>
      </c>
      <c r="L9" s="64">
        <v>3</v>
      </c>
      <c r="M9" s="62">
        <f>L9-M11</f>
        <v>3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412"/>
      <c r="F11" s="85"/>
      <c r="G11" s="413"/>
      <c r="H11" s="87" t="s">
        <v>53</v>
      </c>
      <c r="I11" s="88">
        <v>0.4</v>
      </c>
      <c r="J11" s="85"/>
      <c r="K11" s="416"/>
      <c r="L11" s="414" t="s">
        <v>53</v>
      </c>
      <c r="M11" s="417">
        <v>0</v>
      </c>
      <c r="N11" s="85" t="s">
        <v>54</v>
      </c>
      <c r="O11" s="411">
        <v>0.7</v>
      </c>
      <c r="P11" s="92" t="s">
        <v>199</v>
      </c>
      <c r="Q11" s="92" t="s">
        <v>55</v>
      </c>
      <c r="R11" s="92" t="s">
        <v>240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409" t="s">
        <v>58</v>
      </c>
      <c r="B12" s="397" t="s">
        <v>199</v>
      </c>
      <c r="C12" s="107" t="s">
        <v>213</v>
      </c>
      <c r="D12" s="97" t="s">
        <v>60</v>
      </c>
      <c r="E12" s="100" t="s">
        <v>59</v>
      </c>
      <c r="F12" s="407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00" t="s">
        <v>213</v>
      </c>
      <c r="L12" s="99" t="s">
        <v>64</v>
      </c>
      <c r="M12" s="193" t="s">
        <v>59</v>
      </c>
      <c r="N12" s="407" t="s">
        <v>65</v>
      </c>
      <c r="O12" s="193" t="s">
        <v>59</v>
      </c>
      <c r="P12" s="92" t="s">
        <v>60</v>
      </c>
      <c r="Q12" s="92" t="s">
        <v>247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19"/>
      <c r="B13" s="391" t="s">
        <v>55</v>
      </c>
      <c r="C13" s="107" t="s">
        <v>70</v>
      </c>
      <c r="D13" s="420" t="s">
        <v>200</v>
      </c>
      <c r="E13" s="193" t="s">
        <v>194</v>
      </c>
      <c r="F13" s="391"/>
      <c r="G13" s="193"/>
      <c r="H13" s="392" t="s">
        <v>71</v>
      </c>
      <c r="I13" s="107" t="s">
        <v>87</v>
      </c>
      <c r="J13" s="392" t="s">
        <v>205</v>
      </c>
      <c r="K13" s="193" t="s">
        <v>87</v>
      </c>
      <c r="L13" s="391" t="s">
        <v>212</v>
      </c>
      <c r="M13" s="193" t="s">
        <v>59</v>
      </c>
      <c r="N13" s="391" t="s">
        <v>55</v>
      </c>
      <c r="O13" s="193" t="s">
        <v>72</v>
      </c>
      <c r="P13" s="92" t="s">
        <v>75</v>
      </c>
      <c r="Q13" s="92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5" t="s">
        <v>200</v>
      </c>
      <c r="C14" s="107" t="s">
        <v>248</v>
      </c>
      <c r="D14" s="392"/>
      <c r="E14" s="107"/>
      <c r="F14" s="392"/>
      <c r="G14" s="193"/>
      <c r="H14" s="392" t="s">
        <v>73</v>
      </c>
      <c r="I14" s="107" t="s">
        <v>36</v>
      </c>
      <c r="J14" s="391" t="s">
        <v>73</v>
      </c>
      <c r="K14" s="193" t="s">
        <v>74</v>
      </c>
      <c r="L14" s="392"/>
      <c r="M14" s="193"/>
      <c r="N14" s="395"/>
      <c r="O14" s="107"/>
      <c r="P14" s="109" t="s">
        <v>206</v>
      </c>
      <c r="Q14" s="92" t="s">
        <v>212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5"/>
      <c r="C15" s="107"/>
      <c r="D15" s="99"/>
      <c r="E15" s="107"/>
      <c r="F15" s="392"/>
      <c r="G15" s="193"/>
      <c r="H15" s="106"/>
      <c r="J15" s="392"/>
      <c r="K15" s="107"/>
      <c r="L15" s="420"/>
      <c r="M15" s="193"/>
      <c r="N15" s="24"/>
      <c r="O15" s="107"/>
      <c r="P15" s="109" t="s">
        <v>82</v>
      </c>
      <c r="Q15" s="92" t="s">
        <v>63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7"/>
      <c r="F16" s="125"/>
      <c r="G16" s="127"/>
      <c r="H16" s="128"/>
      <c r="I16" s="26"/>
      <c r="J16" s="125"/>
      <c r="K16" s="425"/>
      <c r="L16" s="129"/>
      <c r="N16" s="129"/>
      <c r="O16" s="52"/>
      <c r="P16" s="92" t="s">
        <v>237</v>
      </c>
      <c r="Q16" s="404" t="s">
        <v>71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6"/>
      <c r="D17" s="125" t="s">
        <v>66</v>
      </c>
      <c r="E17" s="428" t="s">
        <v>85</v>
      </c>
      <c r="F17" s="125" t="s">
        <v>66</v>
      </c>
      <c r="G17" s="127" t="s">
        <v>221</v>
      </c>
      <c r="H17" s="125" t="s">
        <v>73</v>
      </c>
      <c r="I17" s="140" t="s">
        <v>87</v>
      </c>
      <c r="J17" s="46"/>
      <c r="K17" s="422"/>
      <c r="L17" s="125"/>
      <c r="M17" s="140"/>
      <c r="N17" s="141" t="s">
        <v>54</v>
      </c>
      <c r="O17" s="142">
        <v>0.4</v>
      </c>
      <c r="P17" s="589" t="s">
        <v>195</v>
      </c>
      <c r="Q17" s="590"/>
      <c r="R17" s="591"/>
      <c r="S17" s="592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2.1886792452830184</v>
      </c>
      <c r="C18" s="150"/>
      <c r="D18" s="148">
        <f>D52</f>
        <v>1.4591194968553458</v>
      </c>
      <c r="E18" s="149"/>
      <c r="F18" s="148">
        <f>F52</f>
        <v>1.4591194968553458</v>
      </c>
      <c r="G18" s="150"/>
      <c r="H18" s="148">
        <f>H52</f>
        <v>1.8968553459119497</v>
      </c>
      <c r="I18" s="150"/>
      <c r="J18" s="423">
        <f>J52</f>
        <v>1.4591194968553458</v>
      </c>
      <c r="K18" s="424"/>
      <c r="L18" s="151">
        <f>L52</f>
        <v>2.1886792452830184</v>
      </c>
      <c r="M18" s="149"/>
      <c r="N18" s="152">
        <f>N52</f>
        <v>0.94842767295597485</v>
      </c>
      <c r="O18" s="149">
        <f>N18+O17</f>
        <v>1.348427672955975</v>
      </c>
      <c r="P18" s="593"/>
      <c r="Q18" s="594"/>
      <c r="R18" s="594"/>
      <c r="S18" s="595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 t="s">
        <v>251</v>
      </c>
      <c r="C19" s="107" t="s">
        <v>252</v>
      </c>
      <c r="D19" s="56"/>
      <c r="E19" s="107"/>
      <c r="F19" s="56"/>
      <c r="G19" s="158"/>
      <c r="H19" s="56" t="s">
        <v>253</v>
      </c>
      <c r="I19" s="107" t="s">
        <v>254</v>
      </c>
      <c r="J19" s="159"/>
      <c r="K19" s="160"/>
      <c r="L19" s="56"/>
      <c r="M19" s="107"/>
      <c r="N19" s="56"/>
      <c r="O19" s="107"/>
      <c r="P19" s="596" t="s">
        <v>90</v>
      </c>
      <c r="Q19" s="597"/>
      <c r="R19" s="597"/>
      <c r="S19" s="598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61" thickBot="1">
      <c r="A20" s="51"/>
      <c r="B20" s="24"/>
      <c r="C20" s="107"/>
      <c r="D20" s="56"/>
      <c r="E20" s="107"/>
      <c r="F20" s="72"/>
      <c r="G20" s="160"/>
      <c r="H20" s="56" t="s">
        <v>255</v>
      </c>
      <c r="I20" s="107" t="s">
        <v>256</v>
      </c>
      <c r="J20" s="56"/>
      <c r="K20" s="107"/>
      <c r="L20" s="56"/>
      <c r="M20" s="107"/>
      <c r="N20" s="24"/>
      <c r="O20" s="107"/>
      <c r="P20" s="599"/>
      <c r="Q20" s="600"/>
      <c r="R20" s="600"/>
      <c r="S20" s="601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0" t="s">
        <v>257</v>
      </c>
      <c r="C21" s="107" t="s">
        <v>258</v>
      </c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56" t="s">
        <v>259</v>
      </c>
      <c r="C22" s="429" t="s">
        <v>260</v>
      </c>
      <c r="D22" s="166"/>
      <c r="E22" s="107"/>
      <c r="F22" s="72"/>
      <c r="G22" s="167" t="s">
        <v>117</v>
      </c>
      <c r="H22" s="24"/>
      <c r="I22" s="20"/>
      <c r="J22" s="24"/>
      <c r="K22" s="20"/>
      <c r="L22" s="24"/>
      <c r="M22" s="107"/>
      <c r="N22" s="24"/>
      <c r="O22" s="20"/>
      <c r="P22" s="168"/>
      <c r="Q22" s="602" t="s">
        <v>93</v>
      </c>
      <c r="R22" s="602"/>
      <c r="S22" s="603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04"/>
      <c r="Q23" s="605"/>
      <c r="R23" s="605"/>
      <c r="S23" s="606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336" customHeight="1" thickBot="1">
      <c r="A24" s="96"/>
      <c r="B24" s="56"/>
      <c r="C24" s="429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07"/>
      <c r="Q24" s="608"/>
      <c r="R24" s="608"/>
      <c r="S24" s="609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Q27" s="49"/>
      <c r="R27" s="189" t="s">
        <v>228</v>
      </c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22.849056603773576</v>
      </c>
      <c r="C31" s="218"/>
      <c r="D31" s="219">
        <f>D45</f>
        <v>-5.1006289308176136</v>
      </c>
      <c r="E31" s="220"/>
      <c r="F31" s="221">
        <f>F45</f>
        <v>-10.100628930817614</v>
      </c>
      <c r="G31" s="221"/>
      <c r="H31" s="217">
        <f>H45</f>
        <v>18.069182389937112</v>
      </c>
      <c r="I31" s="218"/>
      <c r="J31" s="217">
        <f>J45</f>
        <v>-4.1006289308176136</v>
      </c>
      <c r="K31" s="222"/>
      <c r="L31" s="217">
        <f>L45</f>
        <v>-14.150943396226424</v>
      </c>
      <c r="M31" s="222"/>
      <c r="N31" s="152">
        <f>N45</f>
        <v>-7.4654088050314442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418" t="s">
        <v>12</v>
      </c>
      <c r="E32" s="229" t="s">
        <v>99</v>
      </c>
      <c r="F32" s="418" t="s">
        <v>241</v>
      </c>
      <c r="G32" s="229" t="s">
        <v>242</v>
      </c>
      <c r="H32" s="419"/>
      <c r="I32" s="406"/>
      <c r="J32" s="24" t="s">
        <v>14</v>
      </c>
      <c r="K32" s="229" t="s">
        <v>99</v>
      </c>
      <c r="L32" s="22" t="s">
        <v>243</v>
      </c>
      <c r="M32" s="107" t="s">
        <v>99</v>
      </c>
      <c r="N32" s="24" t="s">
        <v>28</v>
      </c>
      <c r="O32" s="421" t="s">
        <v>250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508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80"/>
      <c r="U41" s="581"/>
      <c r="V41" s="581"/>
      <c r="W41" s="582"/>
      <c r="X41" s="302"/>
      <c r="Y41" s="303"/>
    </row>
    <row r="42" spans="1:34" ht="73" thickBot="1">
      <c r="A42" s="304" t="s">
        <v>136</v>
      </c>
      <c r="B42" s="305">
        <f>SUM(B44:R44)</f>
        <v>15.9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83"/>
      <c r="U42" s="584"/>
      <c r="V42" s="584"/>
      <c r="W42" s="585"/>
      <c r="X42" s="302"/>
      <c r="Y42" s="303"/>
    </row>
    <row r="43" spans="1:34" ht="72">
      <c r="A43" s="304" t="s">
        <v>137</v>
      </c>
      <c r="B43" s="294">
        <f>B41/B42</f>
        <v>31.949685534591193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</v>
      </c>
      <c r="E44" s="297"/>
      <c r="F44" s="296">
        <f>G9</f>
        <v>2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22.849056603773576</v>
      </c>
      <c r="C45" s="295"/>
      <c r="D45" s="318">
        <f>B41/B42*D44-D46</f>
        <v>-5.1006289308176136</v>
      </c>
      <c r="E45" s="319"/>
      <c r="F45" s="318">
        <f>B41/B42*F44-F46</f>
        <v>-10.100628930817614</v>
      </c>
      <c r="G45" s="320"/>
      <c r="H45" s="321">
        <f>B41/B42*H44-H46</f>
        <v>18.069182389937112</v>
      </c>
      <c r="I45" s="322"/>
      <c r="J45" s="321">
        <f>B41/B42*J44-J46</f>
        <v>-4.1006289308176136</v>
      </c>
      <c r="K45" s="322"/>
      <c r="L45" s="321">
        <f>B41/B42*L44-L46</f>
        <v>-14.150943396226424</v>
      </c>
      <c r="M45" s="322"/>
      <c r="N45" s="311">
        <f>B41/B42*N44-N46</f>
        <v>-7.4654088050314442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69</v>
      </c>
      <c r="E46" s="130" t="s">
        <v>244</v>
      </c>
      <c r="F46" s="318">
        <v>74</v>
      </c>
      <c r="G46" s="320"/>
      <c r="H46" s="332">
        <v>65</v>
      </c>
      <c r="J46" s="321">
        <v>68</v>
      </c>
      <c r="K46" s="322"/>
      <c r="L46" s="333">
        <v>110</v>
      </c>
      <c r="M46" s="322"/>
      <c r="N46" s="334">
        <v>49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11.6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43.793103448275865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95.849056603773576</v>
      </c>
      <c r="C51" s="354"/>
      <c r="D51" s="354">
        <f>B43*D44</f>
        <v>63.899371069182386</v>
      </c>
      <c r="E51" s="354"/>
      <c r="F51" s="354">
        <f>B43*F44</f>
        <v>63.899371069182386</v>
      </c>
      <c r="G51" s="354"/>
      <c r="H51" s="359">
        <f>B43*H44</f>
        <v>83.069182389937112</v>
      </c>
      <c r="I51" s="354"/>
      <c r="J51" s="354">
        <f>B43*J44</f>
        <v>63.899371069182386</v>
      </c>
      <c r="K51" s="354"/>
      <c r="L51" s="359">
        <f>B43*L44</f>
        <v>95.849056603773576</v>
      </c>
      <c r="M51" s="354"/>
      <c r="N51" s="354">
        <f>B43*N44</f>
        <v>41.534591194968556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2.1886792452830184</v>
      </c>
      <c r="C52" s="354"/>
      <c r="D52" s="354">
        <f>D51/B50</f>
        <v>1.4591194968553458</v>
      </c>
      <c r="E52" s="354"/>
      <c r="F52" s="354">
        <f>F51/B50</f>
        <v>1.4591194968553458</v>
      </c>
      <c r="G52" s="354"/>
      <c r="H52" s="354">
        <f>H51/B50</f>
        <v>1.8968553459119497</v>
      </c>
      <c r="I52" s="354"/>
      <c r="J52" s="354">
        <f>J51/B50</f>
        <v>1.4591194968553458</v>
      </c>
      <c r="K52" s="354"/>
      <c r="L52" s="359">
        <f>L51/B50</f>
        <v>2.1886792452830184</v>
      </c>
      <c r="M52" s="354"/>
      <c r="N52" s="354">
        <f>N51/B50</f>
        <v>0.94842767295597485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0.75</v>
      </c>
      <c r="D70" s="376" t="s">
        <v>178</v>
      </c>
      <c r="E70" s="376">
        <v>0.25</v>
      </c>
      <c r="F70" s="376">
        <f>O17</f>
        <v>0.4</v>
      </c>
      <c r="G70" s="380">
        <v>1</v>
      </c>
      <c r="H70" s="376">
        <v>0</v>
      </c>
      <c r="I70" s="377">
        <v>0</v>
      </c>
      <c r="J70" s="376">
        <f>SUM(C70:H70)</f>
        <v>2.4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01"/>
  <sheetViews>
    <sheetView zoomScale="20" zoomScaleNormal="20" workbookViewId="0">
      <selection activeCell="K14" sqref="K14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45891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4" t="s">
        <v>12</v>
      </c>
      <c r="E3" s="23"/>
      <c r="F3" s="24" t="s">
        <v>198</v>
      </c>
      <c r="G3" s="26"/>
      <c r="H3" s="22" t="s">
        <v>47</v>
      </c>
      <c r="I3" s="26"/>
      <c r="J3" s="24" t="s">
        <v>100</v>
      </c>
      <c r="K3" s="26"/>
      <c r="L3" s="24" t="s">
        <v>267</v>
      </c>
      <c r="N3" s="24" t="s">
        <v>28</v>
      </c>
      <c r="O3" s="26"/>
      <c r="P3" s="586" t="s">
        <v>17</v>
      </c>
      <c r="Q3" s="587"/>
      <c r="R3" s="587"/>
      <c r="S3" s="588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22</v>
      </c>
      <c r="C4" s="21"/>
      <c r="D4" s="24" t="s">
        <v>23</v>
      </c>
      <c r="E4" s="26">
        <v>0.75</v>
      </c>
      <c r="F4" s="24" t="s">
        <v>265</v>
      </c>
      <c r="G4" s="21"/>
      <c r="H4" s="24" t="s">
        <v>25</v>
      </c>
      <c r="I4" s="26"/>
      <c r="J4" s="24" t="s">
        <v>26</v>
      </c>
      <c r="K4" s="32">
        <v>0.75</v>
      </c>
      <c r="L4" s="24" t="s">
        <v>243</v>
      </c>
      <c r="M4" s="26"/>
      <c r="N4" s="24" t="s">
        <v>16</v>
      </c>
      <c r="O4" s="21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268</v>
      </c>
      <c r="C5" s="21" t="s">
        <v>269</v>
      </c>
      <c r="D5" s="24"/>
      <c r="E5" s="26"/>
      <c r="F5" s="24"/>
      <c r="G5" s="26"/>
      <c r="H5" s="24" t="s">
        <v>37</v>
      </c>
      <c r="I5" s="25"/>
      <c r="J5" s="24" t="s">
        <v>14</v>
      </c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6"/>
      <c r="H6" s="46"/>
      <c r="J6" s="24"/>
      <c r="K6" s="26"/>
      <c r="L6" s="24" t="s">
        <v>13</v>
      </c>
      <c r="M6" s="26" t="s">
        <v>188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21"/>
      <c r="L7" s="46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126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270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2.5</v>
      </c>
      <c r="D9" s="61"/>
      <c r="E9" s="60">
        <v>1.75</v>
      </c>
      <c r="F9" s="32"/>
      <c r="G9" s="62">
        <v>2</v>
      </c>
      <c r="H9" s="63">
        <v>3</v>
      </c>
      <c r="I9" s="62">
        <f>H9-I11</f>
        <v>2.75</v>
      </c>
      <c r="J9" s="61"/>
      <c r="K9" s="60">
        <v>2.75</v>
      </c>
      <c r="L9" s="64">
        <v>3.5</v>
      </c>
      <c r="M9" s="62">
        <f>L9-M11</f>
        <v>3.5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435"/>
      <c r="Q10" s="67"/>
      <c r="R10" s="67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84"/>
      <c r="F11" s="85"/>
      <c r="G11" s="413"/>
      <c r="H11" s="87" t="s">
        <v>53</v>
      </c>
      <c r="I11" s="417">
        <v>0.25</v>
      </c>
      <c r="J11" s="85"/>
      <c r="K11" s="416"/>
      <c r="L11" s="414" t="s">
        <v>53</v>
      </c>
      <c r="M11" s="417">
        <v>0</v>
      </c>
      <c r="N11" s="85" t="s">
        <v>54</v>
      </c>
      <c r="O11" s="411">
        <v>0.7</v>
      </c>
      <c r="P11" s="92" t="s">
        <v>199</v>
      </c>
      <c r="Q11" s="92" t="s">
        <v>263</v>
      </c>
      <c r="R11" s="391" t="s">
        <v>189</v>
      </c>
      <c r="S11" s="399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 thickBot="1">
      <c r="A12" s="409" t="s">
        <v>58</v>
      </c>
      <c r="B12" s="397" t="s">
        <v>199</v>
      </c>
      <c r="C12" s="107" t="s">
        <v>213</v>
      </c>
      <c r="D12" s="97" t="s">
        <v>60</v>
      </c>
      <c r="E12" s="100" t="s">
        <v>59</v>
      </c>
      <c r="F12" s="407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00" t="s">
        <v>36</v>
      </c>
      <c r="L12" s="99" t="s">
        <v>64</v>
      </c>
      <c r="M12" s="193" t="s">
        <v>213</v>
      </c>
      <c r="N12" s="404" t="s">
        <v>262</v>
      </c>
      <c r="O12" s="193" t="s">
        <v>213</v>
      </c>
      <c r="P12" s="92" t="s">
        <v>190</v>
      </c>
      <c r="Q12" s="92" t="s">
        <v>249</v>
      </c>
      <c r="R12" s="396" t="s">
        <v>271</v>
      </c>
      <c r="S12" s="400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263</v>
      </c>
      <c r="C13" s="182" t="s">
        <v>248</v>
      </c>
      <c r="D13" s="391" t="s">
        <v>189</v>
      </c>
      <c r="E13" s="107" t="s">
        <v>78</v>
      </c>
      <c r="F13" s="391" t="s">
        <v>67</v>
      </c>
      <c r="G13" s="177" t="s">
        <v>72</v>
      </c>
      <c r="H13" s="391" t="s">
        <v>73</v>
      </c>
      <c r="I13" s="107" t="s">
        <v>191</v>
      </c>
      <c r="J13" s="391" t="s">
        <v>189</v>
      </c>
      <c r="K13" s="100" t="s">
        <v>203</v>
      </c>
      <c r="L13" s="391" t="s">
        <v>212</v>
      </c>
      <c r="M13" s="193" t="s">
        <v>213</v>
      </c>
      <c r="N13" s="391" t="s">
        <v>263</v>
      </c>
      <c r="O13" s="177" t="s">
        <v>72</v>
      </c>
      <c r="P13" s="92" t="s">
        <v>75</v>
      </c>
      <c r="Q13" s="92" t="s">
        <v>73</v>
      </c>
      <c r="R13" s="391"/>
      <c r="S13" s="400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2"/>
      <c r="C14" s="107"/>
      <c r="D14" s="391"/>
      <c r="E14" s="107"/>
      <c r="F14" s="391"/>
      <c r="G14" s="107"/>
      <c r="H14" s="391"/>
      <c r="I14" s="107"/>
      <c r="J14" s="391" t="s">
        <v>73</v>
      </c>
      <c r="K14" s="193" t="s">
        <v>74</v>
      </c>
      <c r="L14" s="391" t="s">
        <v>67</v>
      </c>
      <c r="M14" s="100" t="s">
        <v>78</v>
      </c>
      <c r="N14" s="420"/>
      <c r="O14" s="107"/>
      <c r="P14" s="109" t="s">
        <v>206</v>
      </c>
      <c r="Q14" s="92" t="s">
        <v>212</v>
      </c>
      <c r="R14" s="391"/>
      <c r="S14" s="401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2"/>
      <c r="C15" s="107"/>
      <c r="D15" s="395"/>
      <c r="E15" s="107"/>
      <c r="F15" s="99"/>
      <c r="G15" s="107"/>
      <c r="H15" s="106"/>
      <c r="J15" s="391" t="s">
        <v>263</v>
      </c>
      <c r="K15" s="193" t="s">
        <v>87</v>
      </c>
      <c r="L15" s="391"/>
      <c r="M15" s="100"/>
      <c r="N15" s="24"/>
      <c r="O15" s="107"/>
      <c r="P15" s="109" t="s">
        <v>82</v>
      </c>
      <c r="Q15" s="92" t="s">
        <v>272</v>
      </c>
      <c r="R15" s="391"/>
      <c r="S15" s="401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7"/>
      <c r="F16" s="125"/>
      <c r="G16" s="127"/>
      <c r="H16" s="128"/>
      <c r="I16" s="26"/>
      <c r="J16" s="391"/>
      <c r="K16" s="193"/>
      <c r="L16" s="129"/>
      <c r="N16" s="129"/>
      <c r="O16" s="52"/>
      <c r="P16" s="92" t="s">
        <v>273</v>
      </c>
      <c r="Q16" s="131" t="s">
        <v>262</v>
      </c>
      <c r="R16" s="391"/>
      <c r="S16" s="399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6"/>
      <c r="D17" s="432" t="s">
        <v>249</v>
      </c>
      <c r="E17" s="431" t="s">
        <v>85</v>
      </c>
      <c r="F17" s="432" t="s">
        <v>249</v>
      </c>
      <c r="G17" s="433" t="s">
        <v>86</v>
      </c>
      <c r="H17" s="125"/>
      <c r="I17" s="140"/>
      <c r="J17" s="46"/>
      <c r="K17" s="422"/>
      <c r="L17" s="125"/>
      <c r="M17" s="140"/>
      <c r="N17" s="141" t="s">
        <v>54</v>
      </c>
      <c r="O17" s="142">
        <v>0.4</v>
      </c>
      <c r="P17" s="589" t="s">
        <v>195</v>
      </c>
      <c r="Q17" s="590"/>
      <c r="R17" s="591"/>
      <c r="S17" s="592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B51</f>
        <v>1.6012084592145013</v>
      </c>
      <c r="C18" s="150"/>
      <c r="D18" s="148">
        <f>D51</f>
        <v>1.1208459214501509</v>
      </c>
      <c r="E18" s="149"/>
      <c r="F18" s="148">
        <f>F51</f>
        <v>1.280966767371601</v>
      </c>
      <c r="G18" s="150"/>
      <c r="H18" s="148">
        <f>H51</f>
        <v>1.7613293051359515</v>
      </c>
      <c r="I18" s="150"/>
      <c r="J18" s="148">
        <f>J51</f>
        <v>1.7613293051359515</v>
      </c>
      <c r="K18" s="149"/>
      <c r="L18" s="151">
        <f>L51</f>
        <v>2.2416918429003019</v>
      </c>
      <c r="M18" s="149"/>
      <c r="N18" s="152">
        <f>N51</f>
        <v>0.83262839879154071</v>
      </c>
      <c r="O18" s="149">
        <f>N18+O17</f>
        <v>1.2326283987915407</v>
      </c>
      <c r="P18" s="593"/>
      <c r="Q18" s="594"/>
      <c r="R18" s="594"/>
      <c r="S18" s="595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430"/>
      <c r="G19" s="158"/>
      <c r="H19" s="56"/>
      <c r="I19" s="107"/>
      <c r="J19" s="159"/>
      <c r="K19" s="160"/>
      <c r="L19" s="56"/>
      <c r="M19" s="107"/>
      <c r="N19" s="56"/>
      <c r="O19" s="107"/>
      <c r="P19" s="596" t="s">
        <v>90</v>
      </c>
      <c r="Q19" s="597"/>
      <c r="R19" s="597"/>
      <c r="S19" s="598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20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163"/>
      <c r="Q20" s="164"/>
      <c r="R20" s="164"/>
      <c r="S20" s="165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388.5" customHeight="1" thickBot="1">
      <c r="A21" s="51"/>
      <c r="B21" s="56"/>
      <c r="C21" s="182"/>
      <c r="D21" s="56"/>
      <c r="E21" s="107"/>
      <c r="F21" s="72"/>
      <c r="G21" s="167"/>
      <c r="H21" s="24"/>
      <c r="I21" s="107"/>
      <c r="J21" s="24"/>
      <c r="K21" s="20"/>
      <c r="L21" s="24"/>
      <c r="M21" s="107"/>
      <c r="N21" s="24"/>
      <c r="O21" s="20"/>
      <c r="P21" s="168"/>
      <c r="Q21" s="602" t="s">
        <v>93</v>
      </c>
      <c r="R21" s="602"/>
      <c r="S21" s="603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59">
      <c r="A22" s="19"/>
      <c r="D22" s="46"/>
      <c r="F22" s="170"/>
      <c r="G22" s="171"/>
      <c r="H22" s="24"/>
      <c r="I22" s="172"/>
      <c r="J22" s="173"/>
      <c r="K22" s="172"/>
      <c r="L22" s="174"/>
      <c r="M22" s="175"/>
      <c r="N22" s="176"/>
      <c r="O22" s="177"/>
      <c r="P22" s="604"/>
      <c r="Q22" s="605"/>
      <c r="R22" s="605"/>
      <c r="S22" s="606"/>
      <c r="T22" s="110"/>
      <c r="U22" s="178"/>
      <c r="V22" s="179"/>
      <c r="W22" s="180"/>
      <c r="Y22" s="181" t="s">
        <v>94</v>
      </c>
      <c r="Z22" s="156" t="s">
        <v>95</v>
      </c>
      <c r="AA22" s="136"/>
      <c r="AD22" s="8"/>
      <c r="AE22" s="8"/>
    </row>
    <row r="23" spans="1:60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K23" s="185"/>
      <c r="L23" s="186"/>
      <c r="M23" s="187"/>
      <c r="N23" s="159"/>
      <c r="O23" s="177"/>
      <c r="P23" s="607"/>
      <c r="Q23" s="608"/>
      <c r="R23" s="608"/>
      <c r="S23" s="609"/>
      <c r="T23" s="110"/>
      <c r="U23" s="178"/>
      <c r="V23" s="179"/>
      <c r="W23" s="180"/>
      <c r="Y23" s="181"/>
      <c r="Z23" s="156"/>
      <c r="AA23" s="136"/>
      <c r="AD23" s="8"/>
      <c r="AE23" s="8"/>
    </row>
    <row r="24" spans="1:60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173"/>
      <c r="M24" s="172"/>
      <c r="N24" s="159"/>
      <c r="O24" s="177"/>
      <c r="P24" s="188"/>
      <c r="Q24" s="189"/>
      <c r="R24" s="190"/>
      <c r="S24" s="189"/>
      <c r="T24" s="110"/>
      <c r="U24" s="178"/>
      <c r="V24" s="179"/>
      <c r="W24" s="180"/>
      <c r="Y24" s="191" t="s">
        <v>96</v>
      </c>
      <c r="Z24" s="192"/>
      <c r="AA24" s="136"/>
      <c r="AD24" s="8"/>
      <c r="AE24" s="8"/>
    </row>
    <row r="25" spans="1:60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59"/>
      <c r="O25" s="193"/>
      <c r="P25" s="49"/>
      <c r="Q25" s="49"/>
      <c r="R25" s="194"/>
      <c r="S25" s="50"/>
      <c r="T25" s="110"/>
      <c r="U25" s="178"/>
      <c r="V25" s="179"/>
      <c r="W25" s="180"/>
      <c r="Y25" s="191"/>
      <c r="Z25" s="192"/>
      <c r="AA25" s="136"/>
      <c r="AD25" s="8"/>
      <c r="AE25" s="8"/>
    </row>
    <row r="26" spans="1:60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56"/>
      <c r="O26" s="197"/>
      <c r="Q26" s="49"/>
      <c r="R26" s="189" t="s">
        <v>264</v>
      </c>
      <c r="S26" s="49"/>
      <c r="T26" s="198"/>
      <c r="U26" s="199"/>
      <c r="V26" s="200"/>
      <c r="W26" s="201"/>
      <c r="Y26" s="202" t="s">
        <v>97</v>
      </c>
      <c r="Z26" s="192"/>
      <c r="AA26" s="136"/>
      <c r="AD26" s="8"/>
      <c r="AE26" s="8"/>
    </row>
    <row r="27" spans="1:60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97"/>
      <c r="P27" s="205"/>
      <c r="Q27" s="206"/>
      <c r="R27" s="205"/>
      <c r="S27" s="205"/>
      <c r="T27" s="198"/>
      <c r="U27" s="199"/>
      <c r="V27" s="200"/>
      <c r="W27" s="201"/>
      <c r="Y27" s="207"/>
      <c r="Z27" s="192"/>
      <c r="AA27" s="136"/>
      <c r="AB27" s="8"/>
      <c r="AD27" s="8"/>
      <c r="AE27" s="8"/>
    </row>
    <row r="28" spans="1:60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56"/>
      <c r="O28" s="197"/>
      <c r="P28" s="93"/>
      <c r="Q28" s="93"/>
      <c r="R28" s="93"/>
      <c r="S28" s="93"/>
      <c r="T28" s="210"/>
      <c r="U28" s="199"/>
      <c r="V28" s="200"/>
      <c r="W28" s="201"/>
      <c r="Y28" s="46"/>
      <c r="Z28" s="192"/>
      <c r="AA28" s="136"/>
      <c r="AD28" s="8"/>
      <c r="AE28" s="8"/>
    </row>
    <row r="29" spans="1:60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56"/>
      <c r="O29" s="212"/>
      <c r="P29" s="194"/>
      <c r="Q29" s="189"/>
      <c r="R29" s="49"/>
      <c r="S29" s="49"/>
      <c r="T29" s="213"/>
      <c r="U29" s="199"/>
      <c r="V29" s="214"/>
      <c r="W29" s="201"/>
      <c r="Y29" s="215"/>
      <c r="Z29" s="192"/>
      <c r="AA29" s="136"/>
      <c r="AD29" s="8"/>
      <c r="AE29" s="8"/>
    </row>
    <row r="30" spans="1:60" s="192" customFormat="1" ht="83.25" customHeight="1" thickBot="1">
      <c r="A30" s="216"/>
      <c r="B30" s="217">
        <f>B44</f>
        <v>2.3413897280966722</v>
      </c>
      <c r="C30" s="218"/>
      <c r="D30" s="219">
        <f>D44</f>
        <v>-9.8610271903323294</v>
      </c>
      <c r="E30" s="220"/>
      <c r="F30" s="221">
        <f>F44</f>
        <v>-12.126888217522662</v>
      </c>
      <c r="G30" s="221"/>
      <c r="H30" s="217">
        <f>H44</f>
        <v>20.075528700906347</v>
      </c>
      <c r="I30" s="218"/>
      <c r="J30" s="217">
        <f>J44</f>
        <v>15.075528700906347</v>
      </c>
      <c r="K30" s="222"/>
      <c r="L30" s="217">
        <f>L44</f>
        <v>-1.7220543806646589</v>
      </c>
      <c r="M30" s="222"/>
      <c r="N30" s="152">
        <f>N44</f>
        <v>-13.782477341389729</v>
      </c>
      <c r="O30" s="218"/>
      <c r="P30" s="223"/>
      <c r="Q30" s="224"/>
      <c r="R30" s="224"/>
      <c r="S30" s="224"/>
      <c r="T30" s="225"/>
      <c r="U30" s="226"/>
      <c r="V30" s="227"/>
      <c r="W30" s="228"/>
      <c r="Y30" s="192" t="s">
        <v>98</v>
      </c>
    </row>
    <row r="31" spans="1:60" ht="273" customHeight="1" thickTop="1">
      <c r="A31" s="19"/>
      <c r="B31" s="24" t="s">
        <v>33</v>
      </c>
      <c r="C31" s="229" t="s">
        <v>99</v>
      </c>
      <c r="D31" s="418" t="s">
        <v>34</v>
      </c>
      <c r="E31" s="229" t="s">
        <v>99</v>
      </c>
      <c r="F31" s="418"/>
      <c r="G31" s="229"/>
      <c r="H31" s="24"/>
      <c r="I31" s="229"/>
      <c r="J31" s="24" t="s">
        <v>26</v>
      </c>
      <c r="K31" s="229" t="s">
        <v>274</v>
      </c>
      <c r="L31" s="22" t="s">
        <v>38</v>
      </c>
      <c r="M31" s="229" t="s">
        <v>99</v>
      </c>
      <c r="N31" s="22"/>
      <c r="O31" s="434"/>
      <c r="P31" s="231" t="s">
        <v>53</v>
      </c>
      <c r="Q31" s="232" t="s">
        <v>102</v>
      </c>
      <c r="R31" s="233"/>
      <c r="S31" s="234"/>
      <c r="T31" s="110"/>
      <c r="U31" s="28"/>
      <c r="V31" s="235"/>
      <c r="W31" s="236"/>
    </row>
    <row r="32" spans="1:60" ht="222" customHeight="1">
      <c r="A32" s="96"/>
      <c r="B32" s="24"/>
      <c r="C32" s="107"/>
      <c r="D32" s="24" t="s">
        <v>23</v>
      </c>
      <c r="E32" s="229" t="s">
        <v>274</v>
      </c>
      <c r="F32" s="24"/>
      <c r="G32" s="229"/>
      <c r="H32" s="24"/>
      <c r="I32" s="230"/>
      <c r="J32" s="24"/>
      <c r="K32" s="229"/>
      <c r="L32" s="24"/>
      <c r="M32" s="107"/>
      <c r="N32" s="24"/>
      <c r="O32" s="229"/>
      <c r="P32" s="237" t="s">
        <v>103</v>
      </c>
      <c r="Q32" s="238"/>
      <c r="R32" s="239"/>
      <c r="S32" s="234"/>
      <c r="T32" s="68"/>
      <c r="U32" s="28"/>
      <c r="V32" s="201"/>
      <c r="W32" s="201"/>
      <c r="Y32" s="240" t="s">
        <v>104</v>
      </c>
      <c r="Z32" s="240"/>
      <c r="AA32" s="240" t="s">
        <v>105</v>
      </c>
      <c r="AB32" s="240" t="s">
        <v>106</v>
      </c>
      <c r="AC32" s="8" t="s">
        <v>107</v>
      </c>
      <c r="AD32" s="192"/>
      <c r="AE32" s="192"/>
      <c r="AF32" s="192"/>
      <c r="AG32" s="192"/>
      <c r="AH32" s="192"/>
    </row>
    <row r="33" spans="1:31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29"/>
      <c r="N33" s="24"/>
      <c r="O33" s="107"/>
      <c r="P33" s="245" t="s">
        <v>108</v>
      </c>
      <c r="Q33" s="246" t="s">
        <v>197</v>
      </c>
      <c r="R33" s="232" t="s">
        <v>109</v>
      </c>
      <c r="S33" s="247" t="s">
        <v>110</v>
      </c>
      <c r="T33" s="68"/>
      <c r="U33" s="123"/>
      <c r="V33" s="201"/>
      <c r="W33" s="201"/>
      <c r="Y33" s="9" t="s">
        <v>111</v>
      </c>
      <c r="Z33" s="9"/>
      <c r="AA33" s="9" t="s">
        <v>105</v>
      </c>
      <c r="AB33" s="9" t="s">
        <v>112</v>
      </c>
      <c r="AC33" s="9" t="s">
        <v>113</v>
      </c>
      <c r="AD33" s="8"/>
      <c r="AE33" s="8"/>
    </row>
    <row r="34" spans="1:31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56"/>
      <c r="O34" s="57"/>
      <c r="P34" s="252" t="s">
        <v>114</v>
      </c>
      <c r="Q34" s="253" t="s">
        <v>115</v>
      </c>
      <c r="R34" s="233" t="s">
        <v>116</v>
      </c>
      <c r="S34" s="49"/>
      <c r="T34" s="68"/>
      <c r="U34" s="123"/>
      <c r="V34" s="201"/>
      <c r="W34" s="201" t="s">
        <v>117</v>
      </c>
      <c r="Y34" s="9" t="s">
        <v>2</v>
      </c>
      <c r="Z34" s="9"/>
      <c r="AA34" s="9" t="s">
        <v>105</v>
      </c>
      <c r="AB34" s="9" t="s">
        <v>118</v>
      </c>
      <c r="AC34" s="9" t="s">
        <v>113</v>
      </c>
      <c r="AD34" s="8"/>
      <c r="AE34" s="8"/>
    </row>
    <row r="35" spans="1:31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56"/>
      <c r="O35" s="57"/>
      <c r="P35" s="259"/>
      <c r="Q35" s="260"/>
      <c r="R35" s="260"/>
      <c r="S35" s="261"/>
      <c r="T35" s="68"/>
      <c r="U35" s="123"/>
      <c r="V35" s="200"/>
      <c r="W35" s="201"/>
      <c r="Y35" s="9" t="s">
        <v>119</v>
      </c>
      <c r="Z35" s="9"/>
      <c r="AA35" s="9" t="s">
        <v>120</v>
      </c>
      <c r="AB35" s="9" t="s">
        <v>121</v>
      </c>
      <c r="AC35" s="9" t="s">
        <v>122</v>
      </c>
      <c r="AD35" s="8" t="s">
        <v>107</v>
      </c>
      <c r="AE35" s="8"/>
    </row>
    <row r="36" spans="1:31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6"/>
      <c r="O36" s="267"/>
      <c r="P36" s="268"/>
      <c r="Q36" s="269"/>
      <c r="R36" s="269"/>
      <c r="S36" s="270"/>
      <c r="T36" s="271"/>
      <c r="U36" s="272"/>
      <c r="V36" s="228"/>
      <c r="W36" s="228"/>
      <c r="Y36" s="9" t="s">
        <v>123</v>
      </c>
      <c r="Z36" s="9"/>
      <c r="AA36" s="9" t="s">
        <v>120</v>
      </c>
      <c r="AB36" s="9" t="s">
        <v>124</v>
      </c>
      <c r="AC36" s="9" t="s">
        <v>113</v>
      </c>
      <c r="AD36" s="8"/>
      <c r="AE36" s="8"/>
    </row>
    <row r="37" spans="1:31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77"/>
      <c r="M37" s="200"/>
      <c r="N37" s="279"/>
      <c r="O37" s="200"/>
      <c r="P37" s="280"/>
      <c r="Q37" s="281"/>
      <c r="R37" s="281"/>
      <c r="S37" s="282"/>
      <c r="T37" s="274" t="s">
        <v>128</v>
      </c>
      <c r="U37" s="283"/>
      <c r="V37" s="214"/>
      <c r="W37" s="201"/>
      <c r="Y37" s="9" t="s">
        <v>18</v>
      </c>
      <c r="Z37" s="9"/>
      <c r="AA37" s="9" t="s">
        <v>129</v>
      </c>
      <c r="AC37" s="9" t="s">
        <v>130</v>
      </c>
      <c r="AD37" s="8" t="s">
        <v>131</v>
      </c>
      <c r="AE37" s="8"/>
    </row>
    <row r="38" spans="1:31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82"/>
      <c r="R38" s="282"/>
      <c r="S38" s="282"/>
      <c r="T38" s="274" t="s">
        <v>132</v>
      </c>
      <c r="U38" s="200"/>
      <c r="V38" s="214"/>
      <c r="W38" s="201"/>
      <c r="Y38" s="9"/>
      <c r="Z38" s="9"/>
      <c r="AA38" s="9" t="s">
        <v>133</v>
      </c>
      <c r="AB38" s="9" t="s">
        <v>134</v>
      </c>
      <c r="AC38" s="9" t="s">
        <v>130</v>
      </c>
      <c r="AD38" s="8"/>
      <c r="AE38" s="8"/>
    </row>
    <row r="39" spans="1:31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46"/>
      <c r="R39" s="288"/>
      <c r="S39" s="288"/>
      <c r="T39" s="289"/>
      <c r="U39" s="290"/>
      <c r="V39" s="291"/>
      <c r="W39" s="292"/>
      <c r="Y39" s="9"/>
      <c r="Z39" s="9"/>
      <c r="AD39" s="8"/>
      <c r="AE39" s="8"/>
    </row>
    <row r="40" spans="1:31" ht="31.5" customHeight="1" thickTop="1">
      <c r="A40" s="293" t="s">
        <v>135</v>
      </c>
      <c r="B40" s="294">
        <f>B45+D45+F45+H45+J45+N45+L45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9"/>
      <c r="O40" s="300"/>
      <c r="P40" s="291"/>
      <c r="Q40" s="288"/>
      <c r="R40" s="301"/>
      <c r="S40" s="301"/>
      <c r="T40" s="580"/>
      <c r="U40" s="581"/>
      <c r="V40" s="581"/>
      <c r="W40" s="582"/>
      <c r="X40" s="302"/>
      <c r="Y40" s="303"/>
    </row>
    <row r="41" spans="1:31" ht="73" thickBot="1">
      <c r="A41" s="304" t="s">
        <v>136</v>
      </c>
      <c r="B41" s="305">
        <f>SUM(B43:R43)</f>
        <v>16.55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9"/>
      <c r="O41" s="300"/>
      <c r="P41" s="282"/>
      <c r="Q41" s="115"/>
      <c r="R41" s="301"/>
      <c r="S41" s="301"/>
      <c r="T41" s="583"/>
      <c r="U41" s="584"/>
      <c r="V41" s="584"/>
      <c r="W41" s="585"/>
      <c r="X41" s="302"/>
      <c r="Y41" s="303"/>
    </row>
    <row r="42" spans="1:31" ht="72">
      <c r="A42" s="304" t="s">
        <v>137</v>
      </c>
      <c r="B42" s="294">
        <f>B40/B41</f>
        <v>30.936555891238669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6"/>
      <c r="S42" s="306"/>
      <c r="T42" s="307"/>
      <c r="U42" s="308"/>
      <c r="V42" s="308"/>
      <c r="W42" s="309"/>
      <c r="X42" s="306"/>
      <c r="Y42" s="303"/>
    </row>
    <row r="43" spans="1:31" ht="72">
      <c r="A43" s="310" t="s">
        <v>138</v>
      </c>
      <c r="B43" s="305">
        <f>C9</f>
        <v>2.5</v>
      </c>
      <c r="C43" s="295"/>
      <c r="D43" s="296">
        <f>E9</f>
        <v>1.75</v>
      </c>
      <c r="E43" s="297"/>
      <c r="F43" s="296">
        <f>G9</f>
        <v>2</v>
      </c>
      <c r="G43" s="297"/>
      <c r="H43" s="278">
        <f>I9</f>
        <v>2.75</v>
      </c>
      <c r="I43" s="299"/>
      <c r="J43" s="278">
        <f>K9</f>
        <v>2.75</v>
      </c>
      <c r="K43" s="299"/>
      <c r="L43" s="278">
        <f>M9</f>
        <v>3.5</v>
      </c>
      <c r="M43" s="299"/>
      <c r="N43" s="311">
        <f>O9</f>
        <v>1.3</v>
      </c>
      <c r="O43" s="300"/>
      <c r="P43" s="312"/>
      <c r="Q43" s="313"/>
      <c r="R43" s="313"/>
      <c r="S43" s="313"/>
      <c r="T43" s="314"/>
      <c r="U43" s="315"/>
      <c r="V43" s="315"/>
      <c r="W43" s="316"/>
      <c r="X43" s="317"/>
      <c r="Y43" s="303"/>
    </row>
    <row r="44" spans="1:31" ht="72">
      <c r="A44" s="304" t="s">
        <v>139</v>
      </c>
      <c r="B44" s="294">
        <f>B40/B41*B43-B45</f>
        <v>2.3413897280966722</v>
      </c>
      <c r="C44" s="295"/>
      <c r="D44" s="318">
        <f>B40/B41*D43-D45</f>
        <v>-9.8610271903323294</v>
      </c>
      <c r="E44" s="319"/>
      <c r="F44" s="318">
        <f>B40/B41*F43-F45</f>
        <v>-12.126888217522662</v>
      </c>
      <c r="G44" s="320"/>
      <c r="H44" s="321">
        <f>B40/B41*H43-H45</f>
        <v>20.075528700906347</v>
      </c>
      <c r="I44" s="322"/>
      <c r="J44" s="321">
        <f>B40/B41*J43-J45</f>
        <v>15.075528700906347</v>
      </c>
      <c r="K44" s="322"/>
      <c r="L44" s="321">
        <f>B40/B41*L43-L45</f>
        <v>-1.7220543806646589</v>
      </c>
      <c r="M44" s="322"/>
      <c r="N44" s="311">
        <f>B40/B41*N43-N45</f>
        <v>-13.782477341389729</v>
      </c>
      <c r="O44" s="323"/>
      <c r="P44" s="324"/>
      <c r="Q44" s="324"/>
      <c r="R44" s="324"/>
      <c r="S44" s="325"/>
      <c r="T44" s="326"/>
      <c r="U44" s="327"/>
      <c r="V44" s="328"/>
      <c r="W44" s="329"/>
      <c r="X44" s="330"/>
      <c r="Y44" s="303"/>
    </row>
    <row r="45" spans="1:31" ht="73" thickBot="1">
      <c r="A45" s="310" t="s">
        <v>140</v>
      </c>
      <c r="B45" s="294">
        <v>75</v>
      </c>
      <c r="C45" s="295"/>
      <c r="D45" s="331">
        <v>64</v>
      </c>
      <c r="E45" s="130" t="s">
        <v>275</v>
      </c>
      <c r="F45" s="318">
        <v>74</v>
      </c>
      <c r="G45" s="320"/>
      <c r="H45" s="332">
        <v>65</v>
      </c>
      <c r="J45" s="321">
        <v>70</v>
      </c>
      <c r="K45" s="322"/>
      <c r="L45" s="333">
        <v>110</v>
      </c>
      <c r="M45" s="322"/>
      <c r="N45" s="334">
        <v>54</v>
      </c>
      <c r="O45" s="335"/>
      <c r="P45" s="336"/>
      <c r="Q45" s="325"/>
      <c r="R45" s="336"/>
      <c r="S45" s="325"/>
      <c r="T45" s="337"/>
      <c r="U45" s="338"/>
      <c r="V45" s="339"/>
      <c r="W45" s="340"/>
      <c r="X45" s="330"/>
      <c r="Y45" s="303"/>
    </row>
    <row r="46" spans="1:31" ht="120.75" customHeight="1" thickBot="1">
      <c r="A46" s="341" t="s">
        <v>142</v>
      </c>
      <c r="B46" s="342" t="s">
        <v>143</v>
      </c>
      <c r="C46" s="343">
        <v>73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147</v>
      </c>
      <c r="K46" s="348" t="s">
        <v>148</v>
      </c>
      <c r="L46" s="349" t="s">
        <v>149</v>
      </c>
      <c r="M46" s="348" t="s">
        <v>150</v>
      </c>
      <c r="N46" s="350" t="s">
        <v>151</v>
      </c>
      <c r="O46" s="351">
        <v>54</v>
      </c>
      <c r="P46" s="325"/>
      <c r="Q46" s="303"/>
      <c r="R46" s="325"/>
      <c r="S46" s="303"/>
      <c r="T46" s="352"/>
      <c r="U46" s="353"/>
      <c r="V46" s="328"/>
      <c r="W46" s="328"/>
      <c r="X46" s="330"/>
      <c r="Y46" s="303"/>
      <c r="AA46" s="9" t="s">
        <v>152</v>
      </c>
    </row>
    <row r="47" spans="1:31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6"/>
      <c r="O47" s="354"/>
      <c r="P47" s="354"/>
      <c r="Q47" s="354"/>
      <c r="R47" s="354"/>
      <c r="S47" s="354"/>
      <c r="T47" s="354"/>
      <c r="U47" s="354"/>
      <c r="V47" s="354"/>
      <c r="W47" s="354"/>
      <c r="X47" s="303"/>
      <c r="Y47" s="303"/>
    </row>
    <row r="48" spans="1:31" ht="72">
      <c r="A48" s="357" t="s">
        <v>153</v>
      </c>
      <c r="B48" s="354">
        <f>14-J69+I69+K69</f>
        <v>10.6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8"/>
      <c r="W48" s="358"/>
    </row>
    <row r="49" spans="1:25" ht="72">
      <c r="A49" s="357" t="s">
        <v>154</v>
      </c>
      <c r="B49" s="359">
        <f>B40/B48</f>
        <v>48.301886792452834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155</v>
      </c>
      <c r="B50" s="354">
        <f>B42*B43</f>
        <v>77.341389728096672</v>
      </c>
      <c r="C50" s="354"/>
      <c r="D50" s="354">
        <f>B42*D43</f>
        <v>54.138972809667671</v>
      </c>
      <c r="E50" s="354"/>
      <c r="F50" s="354">
        <f>B42*F43</f>
        <v>61.873111782477338</v>
      </c>
      <c r="G50" s="354"/>
      <c r="H50" s="359">
        <f>B42*H43</f>
        <v>85.075528700906347</v>
      </c>
      <c r="I50" s="354"/>
      <c r="J50" s="354">
        <f>B42*J43</f>
        <v>85.075528700906347</v>
      </c>
      <c r="K50" s="354"/>
      <c r="L50" s="359">
        <f>B42*L43</f>
        <v>108.27794561933534</v>
      </c>
      <c r="M50" s="354"/>
      <c r="N50" s="354">
        <f>B42*N43</f>
        <v>40.217522658610271</v>
      </c>
      <c r="O50" s="354"/>
      <c r="P50" s="354"/>
      <c r="Q50" s="354"/>
      <c r="R50" s="354"/>
      <c r="S50" s="354"/>
      <c r="T50" s="354"/>
      <c r="U50" s="354"/>
      <c r="V50" s="354"/>
      <c r="W50" s="354"/>
      <c r="X50" s="303"/>
      <c r="Y50" s="303"/>
    </row>
    <row r="51" spans="1:25" ht="72">
      <c r="A51" s="357" t="s">
        <v>156</v>
      </c>
      <c r="B51" s="354">
        <f>B50/B49</f>
        <v>1.6012084592145013</v>
      </c>
      <c r="C51" s="354"/>
      <c r="D51" s="354">
        <f>D50/B49</f>
        <v>1.1208459214501509</v>
      </c>
      <c r="E51" s="354"/>
      <c r="F51" s="354">
        <f>F50/B49</f>
        <v>1.280966767371601</v>
      </c>
      <c r="G51" s="354"/>
      <c r="H51" s="354">
        <f>H50/B49</f>
        <v>1.7613293051359515</v>
      </c>
      <c r="I51" s="354"/>
      <c r="J51" s="354">
        <f>J50/B49</f>
        <v>1.7613293051359515</v>
      </c>
      <c r="K51" s="354"/>
      <c r="L51" s="359">
        <f>L50/B49</f>
        <v>2.2416918429003019</v>
      </c>
      <c r="M51" s="354"/>
      <c r="N51" s="354">
        <f>N50/B49</f>
        <v>0.83262839879154071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4"/>
      <c r="X54" s="303"/>
      <c r="Y54" s="303"/>
    </row>
    <row r="55" spans="1:25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53"/>
      <c r="Q58" s="353"/>
      <c r="R58" s="353"/>
      <c r="S58" s="353"/>
      <c r="T58" s="353"/>
      <c r="U58" s="353"/>
      <c r="V58" s="353"/>
      <c r="W58" s="355"/>
      <c r="X58" s="364"/>
      <c r="Y58" s="364"/>
    </row>
    <row r="59" spans="1:25">
      <c r="A59" s="364"/>
      <c r="B59" s="367" t="s">
        <v>162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53"/>
      <c r="W59" s="355"/>
      <c r="X59" s="364"/>
      <c r="Y59" s="364"/>
    </row>
    <row r="60" spans="1:25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8"/>
      <c r="R60" s="368"/>
      <c r="S60" s="368"/>
      <c r="T60" s="368"/>
      <c r="U60" s="368"/>
      <c r="V60" s="369"/>
      <c r="W60" s="364"/>
      <c r="X60" s="364"/>
      <c r="Y60" s="364"/>
    </row>
    <row r="61" spans="1:25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7" t="s">
        <v>165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</row>
    <row r="67" spans="1:25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</row>
    <row r="68" spans="1:25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6"/>
      <c r="C69" s="376">
        <v>1</v>
      </c>
      <c r="D69" s="376" t="s">
        <v>178</v>
      </c>
      <c r="E69" s="376">
        <v>0</v>
      </c>
      <c r="F69" s="376">
        <f>O17</f>
        <v>0.4</v>
      </c>
      <c r="G69" s="380">
        <v>2</v>
      </c>
      <c r="H69" s="376">
        <v>0</v>
      </c>
      <c r="I69" s="377">
        <v>0</v>
      </c>
      <c r="J69" s="376">
        <f>SUM(C69:H69)</f>
        <v>3.4</v>
      </c>
      <c r="K69" s="378">
        <v>0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2" spans="1:25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5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0.25</v>
      </c>
    </row>
    <row r="74" spans="1:25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</row>
    <row r="77" spans="1:25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4:18">
      <c r="N98" s="385"/>
      <c r="O98" s="385"/>
      <c r="P98" s="385"/>
      <c r="Q98" s="385"/>
      <c r="R98" s="385"/>
    </row>
    <row r="99" spans="14:18">
      <c r="N99" s="386"/>
      <c r="O99" s="386"/>
      <c r="P99" s="386"/>
      <c r="Q99" s="386"/>
      <c r="R99" s="386"/>
    </row>
    <row r="100" spans="14:18">
      <c r="N100" s="386"/>
      <c r="O100" s="386"/>
      <c r="P100" s="386"/>
      <c r="Q100" s="386"/>
      <c r="R100" s="386"/>
    </row>
    <row r="101" spans="14:18" ht="36" thickBot="1">
      <c r="N101" s="387"/>
      <c r="O101" s="387"/>
      <c r="P101" s="387"/>
      <c r="Q101" s="388"/>
      <c r="R101" s="389"/>
    </row>
  </sheetData>
  <mergeCells count="6">
    <mergeCell ref="T40:W41"/>
    <mergeCell ref="P3:S3"/>
    <mergeCell ref="P17:S18"/>
    <mergeCell ref="P19:S19"/>
    <mergeCell ref="Q21:S21"/>
    <mergeCell ref="P22:S23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01"/>
  <sheetViews>
    <sheetView zoomScale="20" zoomScaleNormal="20" workbookViewId="0">
      <selection activeCell="D23" sqref="D2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45896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4" t="s">
        <v>12</v>
      </c>
      <c r="E3" s="23"/>
      <c r="F3" s="24" t="s">
        <v>198</v>
      </c>
      <c r="G3" s="26"/>
      <c r="H3" s="22" t="s">
        <v>47</v>
      </c>
      <c r="I3" s="26"/>
      <c r="J3" s="24" t="s">
        <v>100</v>
      </c>
      <c r="K3" s="26"/>
      <c r="L3" s="24" t="s">
        <v>267</v>
      </c>
      <c r="M3" s="20">
        <v>0.75</v>
      </c>
      <c r="N3" s="24" t="s">
        <v>28</v>
      </c>
      <c r="O3" s="26"/>
      <c r="P3" s="586" t="s">
        <v>17</v>
      </c>
      <c r="Q3" s="587"/>
      <c r="R3" s="587"/>
      <c r="S3" s="588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22</v>
      </c>
      <c r="C4" s="21"/>
      <c r="D4" s="24" t="s">
        <v>23</v>
      </c>
      <c r="E4" s="26"/>
      <c r="F4" s="24" t="s">
        <v>265</v>
      </c>
      <c r="G4" s="21"/>
      <c r="H4" s="24" t="s">
        <v>25</v>
      </c>
      <c r="I4" s="26"/>
      <c r="J4" s="24" t="s">
        <v>26</v>
      </c>
      <c r="K4" s="32"/>
      <c r="L4" s="24" t="s">
        <v>243</v>
      </c>
      <c r="M4" s="26"/>
      <c r="N4" s="24" t="s">
        <v>16</v>
      </c>
      <c r="O4" s="21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33</v>
      </c>
      <c r="C5" s="21"/>
      <c r="D5" s="24"/>
      <c r="E5" s="26"/>
      <c r="F5" s="24" t="s">
        <v>13</v>
      </c>
      <c r="G5" s="26" t="s">
        <v>192</v>
      </c>
      <c r="H5" s="24" t="s">
        <v>37</v>
      </c>
      <c r="I5" s="25"/>
      <c r="J5" s="24" t="s">
        <v>14</v>
      </c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6"/>
      <c r="H6" s="46"/>
      <c r="J6" s="24"/>
      <c r="K6" s="26"/>
      <c r="L6" s="24" t="s">
        <v>277</v>
      </c>
      <c r="M6" s="26" t="s">
        <v>278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21"/>
      <c r="L7" s="24" t="s">
        <v>13</v>
      </c>
      <c r="M7" s="20" t="s">
        <v>279</v>
      </c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3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276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2.5</v>
      </c>
      <c r="H9" s="63">
        <v>3</v>
      </c>
      <c r="I9" s="62">
        <f>H9-I11</f>
        <v>3</v>
      </c>
      <c r="J9" s="61"/>
      <c r="K9" s="60">
        <v>3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435"/>
      <c r="Q10" s="67"/>
      <c r="R10" s="67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84"/>
      <c r="F11" s="85"/>
      <c r="G11" s="413"/>
      <c r="H11" s="87" t="s">
        <v>53</v>
      </c>
      <c r="I11" s="417">
        <v>0</v>
      </c>
      <c r="J11" s="85"/>
      <c r="K11" s="416"/>
      <c r="L11" s="414" t="s">
        <v>53</v>
      </c>
      <c r="M11" s="417">
        <v>0</v>
      </c>
      <c r="N11" s="85" t="s">
        <v>54</v>
      </c>
      <c r="O11" s="411">
        <v>0.7</v>
      </c>
      <c r="P11" s="92" t="s">
        <v>280</v>
      </c>
      <c r="Q11" s="92" t="s">
        <v>281</v>
      </c>
      <c r="R11" s="92" t="s">
        <v>189</v>
      </c>
      <c r="S11" s="399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 thickBot="1">
      <c r="A12" s="409" t="s">
        <v>58</v>
      </c>
      <c r="B12" s="397" t="s">
        <v>199</v>
      </c>
      <c r="C12" s="107" t="s">
        <v>191</v>
      </c>
      <c r="D12" s="97" t="s">
        <v>60</v>
      </c>
      <c r="E12" s="100" t="s">
        <v>59</v>
      </c>
      <c r="F12" s="407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93" t="s">
        <v>213</v>
      </c>
      <c r="L12" s="99" t="s">
        <v>64</v>
      </c>
      <c r="M12" s="193" t="s">
        <v>213</v>
      </c>
      <c r="N12" s="404" t="s">
        <v>262</v>
      </c>
      <c r="O12" s="193" t="s">
        <v>213</v>
      </c>
      <c r="P12" s="92" t="s">
        <v>190</v>
      </c>
      <c r="Q12" s="92" t="s">
        <v>249</v>
      </c>
      <c r="R12" s="396" t="s">
        <v>200</v>
      </c>
      <c r="S12" s="400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5" t="s">
        <v>200</v>
      </c>
      <c r="C13" s="182" t="s">
        <v>213</v>
      </c>
      <c r="D13" s="395"/>
      <c r="E13" s="107"/>
      <c r="F13" s="391" t="s">
        <v>73</v>
      </c>
      <c r="G13" s="438" t="s">
        <v>282</v>
      </c>
      <c r="H13" s="391" t="s">
        <v>189</v>
      </c>
      <c r="I13" s="107" t="s">
        <v>191</v>
      </c>
      <c r="J13" s="391" t="s">
        <v>189</v>
      </c>
      <c r="K13" s="193" t="s">
        <v>74</v>
      </c>
      <c r="L13" s="391" t="s">
        <v>212</v>
      </c>
      <c r="M13" s="193" t="s">
        <v>283</v>
      </c>
      <c r="N13" s="391" t="s">
        <v>218</v>
      </c>
      <c r="O13" s="177" t="s">
        <v>72</v>
      </c>
      <c r="P13" s="92" t="s">
        <v>75</v>
      </c>
      <c r="Q13" s="92" t="s">
        <v>73</v>
      </c>
      <c r="R13" s="391"/>
      <c r="S13" s="400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5"/>
      <c r="C14" s="107"/>
      <c r="D14" s="391"/>
      <c r="E14" s="107"/>
      <c r="F14" s="391"/>
      <c r="G14" s="107"/>
      <c r="H14" s="391"/>
      <c r="I14" s="107"/>
      <c r="J14" s="391" t="s">
        <v>73</v>
      </c>
      <c r="K14" s="193" t="s">
        <v>78</v>
      </c>
      <c r="L14" s="391"/>
      <c r="M14" s="100"/>
      <c r="N14" s="420"/>
      <c r="O14" s="107"/>
      <c r="P14" s="109" t="s">
        <v>206</v>
      </c>
      <c r="Q14" s="92" t="s">
        <v>212</v>
      </c>
      <c r="R14" s="391"/>
      <c r="S14" s="401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1"/>
      <c r="C15" s="437"/>
      <c r="D15" s="395"/>
      <c r="E15" s="107"/>
      <c r="F15" s="99"/>
      <c r="G15" s="107"/>
      <c r="H15" s="106"/>
      <c r="J15" s="391" t="s">
        <v>212</v>
      </c>
      <c r="K15" s="193" t="s">
        <v>220</v>
      </c>
      <c r="L15" s="391"/>
      <c r="M15" s="100"/>
      <c r="N15" s="24"/>
      <c r="O15" s="107"/>
      <c r="P15" s="109" t="s">
        <v>82</v>
      </c>
      <c r="Q15" s="92" t="s">
        <v>63</v>
      </c>
      <c r="R15" s="391"/>
      <c r="S15" s="401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7"/>
      <c r="F16" s="125"/>
      <c r="G16" s="127"/>
      <c r="H16" s="128"/>
      <c r="I16" s="26"/>
      <c r="J16" s="391"/>
      <c r="K16" s="193"/>
      <c r="L16" s="129"/>
      <c r="N16" s="129"/>
      <c r="O16" s="52"/>
      <c r="P16" s="396" t="s">
        <v>273</v>
      </c>
      <c r="Q16" s="131" t="s">
        <v>262</v>
      </c>
      <c r="R16" s="391"/>
      <c r="S16" s="399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6"/>
      <c r="D17" s="432" t="s">
        <v>249</v>
      </c>
      <c r="E17" s="431" t="s">
        <v>85</v>
      </c>
      <c r="F17" s="432" t="s">
        <v>249</v>
      </c>
      <c r="G17" s="433" t="s">
        <v>208</v>
      </c>
      <c r="H17" s="125"/>
      <c r="I17" s="140"/>
      <c r="J17" s="46"/>
      <c r="K17" s="422"/>
      <c r="L17" s="125" t="s">
        <v>266</v>
      </c>
      <c r="M17" s="140" t="s">
        <v>87</v>
      </c>
      <c r="N17" s="141" t="s">
        <v>54</v>
      </c>
      <c r="O17" s="142">
        <v>0.4</v>
      </c>
      <c r="P17" s="589" t="s">
        <v>195</v>
      </c>
      <c r="Q17" s="590"/>
      <c r="R17" s="591"/>
      <c r="S17" s="592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B51</f>
        <v>1.7154696132596685</v>
      </c>
      <c r="C18" s="150"/>
      <c r="D18" s="148">
        <f>D51</f>
        <v>1.1436464088397789</v>
      </c>
      <c r="E18" s="149"/>
      <c r="F18" s="148">
        <f>F51</f>
        <v>1.4295580110497235</v>
      </c>
      <c r="G18" s="150"/>
      <c r="H18" s="148">
        <f>H51</f>
        <v>1.7154696132596685</v>
      </c>
      <c r="I18" s="150"/>
      <c r="J18" s="148">
        <f>J51</f>
        <v>1.7154696132596685</v>
      </c>
      <c r="K18" s="149"/>
      <c r="L18" s="151">
        <f>L51</f>
        <v>1.8870165745856351</v>
      </c>
      <c r="M18" s="149"/>
      <c r="N18" s="152">
        <f>N51</f>
        <v>0.74337016574585635</v>
      </c>
      <c r="O18" s="149">
        <f>N18+O17</f>
        <v>1.1433701657458564</v>
      </c>
      <c r="P18" s="593"/>
      <c r="Q18" s="594"/>
      <c r="R18" s="594"/>
      <c r="S18" s="595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>
      <c r="A19" s="51"/>
      <c r="B19" s="56" t="s">
        <v>7</v>
      </c>
      <c r="C19" s="107" t="s">
        <v>284</v>
      </c>
      <c r="D19" s="56"/>
      <c r="E19" s="107"/>
      <c r="F19" s="430"/>
      <c r="G19" s="158"/>
      <c r="H19" s="56" t="s">
        <v>253</v>
      </c>
      <c r="I19" s="107" t="s">
        <v>285</v>
      </c>
      <c r="J19" s="159" t="s">
        <v>251</v>
      </c>
      <c r="K19" s="160" t="s">
        <v>286</v>
      </c>
      <c r="L19" s="56"/>
      <c r="M19" s="107"/>
      <c r="N19" s="56"/>
      <c r="O19" s="107"/>
      <c r="P19" s="596" t="s">
        <v>90</v>
      </c>
      <c r="Q19" s="597"/>
      <c r="R19" s="597"/>
      <c r="S19" s="598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>
      <c r="A20" s="51"/>
      <c r="B20" s="20"/>
      <c r="C20" s="107"/>
      <c r="D20" s="56"/>
      <c r="E20" s="107"/>
      <c r="F20" s="72"/>
      <c r="G20" s="160"/>
      <c r="H20" s="159"/>
      <c r="I20" s="107"/>
      <c r="J20" s="56" t="s">
        <v>259</v>
      </c>
      <c r="K20" s="107" t="s">
        <v>287</v>
      </c>
      <c r="L20" s="56"/>
      <c r="M20" s="107"/>
      <c r="N20" s="24"/>
      <c r="O20" s="107"/>
      <c r="P20" s="163"/>
      <c r="Q20" s="164"/>
      <c r="R20" s="164"/>
      <c r="S20" s="165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388.5" customHeight="1">
      <c r="A21" s="51"/>
      <c r="B21" s="56"/>
      <c r="C21" s="182"/>
      <c r="D21" s="56"/>
      <c r="E21" s="107"/>
      <c r="F21" s="72"/>
      <c r="G21" s="167"/>
      <c r="H21" s="24"/>
      <c r="I21" s="107"/>
      <c r="J21" s="56" t="s">
        <v>7</v>
      </c>
      <c r="K21" s="107" t="s">
        <v>288</v>
      </c>
      <c r="L21" s="24"/>
      <c r="M21" s="107"/>
      <c r="N21" s="24"/>
      <c r="O21" s="20"/>
      <c r="P21" s="168"/>
      <c r="Q21" s="602" t="s">
        <v>93</v>
      </c>
      <c r="R21" s="602"/>
      <c r="S21" s="603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59">
      <c r="A22" s="19"/>
      <c r="D22" s="46"/>
      <c r="F22" s="170"/>
      <c r="G22" s="171"/>
      <c r="H22" s="24"/>
      <c r="I22" s="172"/>
      <c r="J22" s="173"/>
      <c r="K22" s="172"/>
      <c r="L22" s="174"/>
      <c r="M22" s="175"/>
      <c r="N22" s="176"/>
      <c r="O22" s="177"/>
      <c r="P22" s="604"/>
      <c r="Q22" s="605"/>
      <c r="R22" s="605"/>
      <c r="S22" s="606"/>
      <c r="T22" s="110"/>
      <c r="U22" s="178"/>
      <c r="V22" s="179"/>
      <c r="W22" s="180"/>
      <c r="Y22" s="181" t="s">
        <v>94</v>
      </c>
      <c r="Z22" s="156" t="s">
        <v>95</v>
      </c>
      <c r="AA22" s="136"/>
      <c r="AD22" s="8"/>
      <c r="AE22" s="8"/>
    </row>
    <row r="23" spans="1:60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K23" s="185"/>
      <c r="L23" s="186"/>
      <c r="M23" s="187"/>
      <c r="N23" s="159"/>
      <c r="O23" s="177"/>
      <c r="P23" s="607"/>
      <c r="Q23" s="608"/>
      <c r="R23" s="608"/>
      <c r="S23" s="609"/>
      <c r="T23" s="110"/>
      <c r="U23" s="178"/>
      <c r="V23" s="179"/>
      <c r="W23" s="180"/>
      <c r="Y23" s="181"/>
      <c r="Z23" s="156"/>
      <c r="AA23" s="136"/>
      <c r="AD23" s="8"/>
      <c r="AE23" s="8"/>
    </row>
    <row r="24" spans="1:60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173"/>
      <c r="M24" s="172"/>
      <c r="N24" s="159"/>
      <c r="O24" s="177"/>
      <c r="P24" s="188"/>
      <c r="Q24" s="189"/>
      <c r="R24" s="190"/>
      <c r="S24" s="189"/>
      <c r="T24" s="110"/>
      <c r="U24" s="178"/>
      <c r="V24" s="179"/>
      <c r="W24" s="180"/>
      <c r="Y24" s="191" t="s">
        <v>96</v>
      </c>
      <c r="Z24" s="192"/>
      <c r="AA24" s="136"/>
      <c r="AD24" s="8"/>
      <c r="AE24" s="8"/>
    </row>
    <row r="25" spans="1:60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59"/>
      <c r="O25" s="193"/>
      <c r="P25" s="49"/>
      <c r="Q25" s="49"/>
      <c r="R25" s="194"/>
      <c r="S25" s="50"/>
      <c r="T25" s="110"/>
      <c r="U25" s="178"/>
      <c r="V25" s="179"/>
      <c r="W25" s="180"/>
      <c r="Y25" s="191"/>
      <c r="Z25" s="192"/>
      <c r="AA25" s="136"/>
      <c r="AD25" s="8"/>
      <c r="AE25" s="8"/>
    </row>
    <row r="26" spans="1:60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56"/>
      <c r="O26" s="197"/>
      <c r="Q26" s="49"/>
      <c r="R26" s="189" t="s">
        <v>264</v>
      </c>
      <c r="S26" s="49"/>
      <c r="T26" s="198"/>
      <c r="U26" s="199"/>
      <c r="V26" s="200"/>
      <c r="W26" s="201"/>
      <c r="Y26" s="202" t="s">
        <v>97</v>
      </c>
      <c r="Z26" s="192"/>
      <c r="AA26" s="136"/>
      <c r="AD26" s="8"/>
      <c r="AE26" s="8"/>
    </row>
    <row r="27" spans="1:60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97"/>
      <c r="P27" s="205"/>
      <c r="Q27" s="206"/>
      <c r="R27" s="205"/>
      <c r="S27" s="205"/>
      <c r="T27" s="198"/>
      <c r="U27" s="199"/>
      <c r="V27" s="200"/>
      <c r="W27" s="201"/>
      <c r="Y27" s="207"/>
      <c r="Z27" s="192"/>
      <c r="AA27" s="136"/>
      <c r="AB27" s="8"/>
      <c r="AD27" s="8"/>
      <c r="AE27" s="8"/>
    </row>
    <row r="28" spans="1:60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56"/>
      <c r="O28" s="197"/>
      <c r="P28" s="93"/>
      <c r="Q28" s="93"/>
      <c r="R28" s="93"/>
      <c r="S28" s="93"/>
      <c r="T28" s="210"/>
      <c r="U28" s="199"/>
      <c r="V28" s="200"/>
      <c r="W28" s="201"/>
      <c r="Y28" s="46"/>
      <c r="Z28" s="192"/>
      <c r="AA28" s="136"/>
      <c r="AD28" s="8"/>
      <c r="AE28" s="8"/>
    </row>
    <row r="29" spans="1:60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56"/>
      <c r="O29" s="212"/>
      <c r="P29" s="194"/>
      <c r="Q29" s="189"/>
      <c r="R29" s="49"/>
      <c r="S29" s="49"/>
      <c r="T29" s="213"/>
      <c r="U29" s="199"/>
      <c r="V29" s="214"/>
      <c r="W29" s="201"/>
      <c r="Y29" s="215"/>
      <c r="Z29" s="192"/>
      <c r="AA29" s="136"/>
      <c r="AD29" s="8"/>
      <c r="AE29" s="8"/>
    </row>
    <row r="30" spans="1:60" s="192" customFormat="1" ht="83.25" customHeight="1" thickBot="1">
      <c r="A30" s="216"/>
      <c r="B30" s="217">
        <f>B44</f>
        <v>9.8618784530386705</v>
      </c>
      <c r="C30" s="218"/>
      <c r="D30" s="219">
        <f>D44</f>
        <v>-7.4254143646408863</v>
      </c>
      <c r="E30" s="220"/>
      <c r="F30" s="221">
        <f>F44</f>
        <v>-3.281767955801115</v>
      </c>
      <c r="G30" s="221"/>
      <c r="H30" s="217">
        <f>H44</f>
        <v>19.861878453038671</v>
      </c>
      <c r="I30" s="218"/>
      <c r="J30" s="217">
        <f>J44</f>
        <v>14.861878453038671</v>
      </c>
      <c r="K30" s="222"/>
      <c r="L30" s="217">
        <f>L44</f>
        <v>-16.65193370165747</v>
      </c>
      <c r="M30" s="222"/>
      <c r="N30" s="152">
        <f>N44</f>
        <v>-17.226519337016576</v>
      </c>
      <c r="O30" s="218"/>
      <c r="P30" s="223"/>
      <c r="Q30" s="224"/>
      <c r="R30" s="224"/>
      <c r="S30" s="224"/>
      <c r="T30" s="225"/>
      <c r="U30" s="226"/>
      <c r="V30" s="227"/>
      <c r="W30" s="228"/>
      <c r="Y30" s="192" t="s">
        <v>98</v>
      </c>
    </row>
    <row r="31" spans="1:60" ht="273" customHeight="1" thickTop="1">
      <c r="A31" s="19"/>
      <c r="B31" s="24"/>
      <c r="C31" s="229"/>
      <c r="D31" s="418" t="s">
        <v>34</v>
      </c>
      <c r="E31" s="229" t="s">
        <v>99</v>
      </c>
      <c r="F31" s="418"/>
      <c r="G31" s="229"/>
      <c r="H31" s="24"/>
      <c r="I31" s="229"/>
      <c r="J31" s="24"/>
      <c r="K31" s="229"/>
      <c r="L31" s="22" t="s">
        <v>38</v>
      </c>
      <c r="M31" s="229" t="s">
        <v>99</v>
      </c>
      <c r="N31" s="22"/>
      <c r="O31" s="434"/>
      <c r="P31" s="231" t="s">
        <v>53</v>
      </c>
      <c r="Q31" s="232" t="s">
        <v>102</v>
      </c>
      <c r="R31" s="233"/>
      <c r="S31" s="234"/>
      <c r="T31" s="110"/>
      <c r="U31" s="28"/>
      <c r="V31" s="235"/>
      <c r="W31" s="236"/>
    </row>
    <row r="32" spans="1:60" ht="222" customHeight="1">
      <c r="A32" s="96"/>
      <c r="B32" s="24"/>
      <c r="C32" s="107"/>
      <c r="D32" s="24"/>
      <c r="E32" s="229"/>
      <c r="F32" s="24"/>
      <c r="G32" s="229"/>
      <c r="H32" s="24"/>
      <c r="I32" s="230"/>
      <c r="J32" s="24"/>
      <c r="K32" s="229"/>
      <c r="L32" s="24" t="s">
        <v>15</v>
      </c>
      <c r="M32" s="107" t="s">
        <v>289</v>
      </c>
      <c r="N32" s="24"/>
      <c r="O32" s="229"/>
      <c r="P32" s="237" t="s">
        <v>103</v>
      </c>
      <c r="Q32" s="238"/>
      <c r="R32" s="239"/>
      <c r="S32" s="234"/>
      <c r="T32" s="68"/>
      <c r="U32" s="28"/>
      <c r="V32" s="201"/>
      <c r="W32" s="201"/>
      <c r="Y32" s="240" t="s">
        <v>104</v>
      </c>
      <c r="Z32" s="240"/>
      <c r="AA32" s="240" t="s">
        <v>105</v>
      </c>
      <c r="AB32" s="240" t="s">
        <v>106</v>
      </c>
      <c r="AC32" s="8" t="s">
        <v>107</v>
      </c>
      <c r="AD32" s="192"/>
      <c r="AE32" s="192"/>
      <c r="AF32" s="192"/>
      <c r="AG32" s="192"/>
      <c r="AH32" s="192"/>
    </row>
    <row r="33" spans="1:31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29"/>
      <c r="N33" s="24"/>
      <c r="O33" s="107"/>
      <c r="P33" s="245" t="s">
        <v>108</v>
      </c>
      <c r="Q33" s="246" t="s">
        <v>197</v>
      </c>
      <c r="R33" s="232" t="s">
        <v>109</v>
      </c>
      <c r="S33" s="247" t="s">
        <v>110</v>
      </c>
      <c r="T33" s="68"/>
      <c r="U33" s="123"/>
      <c r="V33" s="201"/>
      <c r="W33" s="201"/>
      <c r="Y33" s="9" t="s">
        <v>111</v>
      </c>
      <c r="Z33" s="9"/>
      <c r="AA33" s="9" t="s">
        <v>105</v>
      </c>
      <c r="AB33" s="9" t="s">
        <v>112</v>
      </c>
      <c r="AC33" s="9" t="s">
        <v>113</v>
      </c>
      <c r="AD33" s="8"/>
      <c r="AE33" s="8"/>
    </row>
    <row r="34" spans="1:31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56"/>
      <c r="O34" s="57"/>
      <c r="P34" s="252" t="s">
        <v>114</v>
      </c>
      <c r="Q34" s="253" t="s">
        <v>115</v>
      </c>
      <c r="R34" s="233" t="s">
        <v>116</v>
      </c>
      <c r="S34" s="49"/>
      <c r="T34" s="68"/>
      <c r="U34" s="123"/>
      <c r="V34" s="201"/>
      <c r="W34" s="201" t="s">
        <v>117</v>
      </c>
      <c r="Y34" s="9" t="s">
        <v>2</v>
      </c>
      <c r="Z34" s="9"/>
      <c r="AA34" s="9" t="s">
        <v>105</v>
      </c>
      <c r="AB34" s="9" t="s">
        <v>118</v>
      </c>
      <c r="AC34" s="9" t="s">
        <v>113</v>
      </c>
      <c r="AD34" s="8"/>
      <c r="AE34" s="8"/>
    </row>
    <row r="35" spans="1:31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56"/>
      <c r="O35" s="57"/>
      <c r="P35" s="259"/>
      <c r="Q35" s="260"/>
      <c r="R35" s="260"/>
      <c r="S35" s="261"/>
      <c r="T35" s="68"/>
      <c r="U35" s="123"/>
      <c r="V35" s="200"/>
      <c r="W35" s="201"/>
      <c r="Y35" s="9" t="s">
        <v>119</v>
      </c>
      <c r="Z35" s="9"/>
      <c r="AA35" s="9" t="s">
        <v>120</v>
      </c>
      <c r="AB35" s="9" t="s">
        <v>121</v>
      </c>
      <c r="AC35" s="9" t="s">
        <v>122</v>
      </c>
      <c r="AD35" s="8" t="s">
        <v>107</v>
      </c>
      <c r="AE35" s="8"/>
    </row>
    <row r="36" spans="1:31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6"/>
      <c r="O36" s="267"/>
      <c r="P36" s="268"/>
      <c r="Q36" s="269"/>
      <c r="R36" s="269"/>
      <c r="S36" s="270"/>
      <c r="T36" s="271"/>
      <c r="U36" s="272"/>
      <c r="V36" s="228"/>
      <c r="W36" s="228"/>
      <c r="Y36" s="9" t="s">
        <v>123</v>
      </c>
      <c r="Z36" s="9"/>
      <c r="AA36" s="9" t="s">
        <v>120</v>
      </c>
      <c r="AB36" s="9" t="s">
        <v>124</v>
      </c>
      <c r="AC36" s="9" t="s">
        <v>113</v>
      </c>
      <c r="AD36" s="8"/>
      <c r="AE36" s="8"/>
    </row>
    <row r="37" spans="1:31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77"/>
      <c r="M37" s="200"/>
      <c r="N37" s="279"/>
      <c r="O37" s="200"/>
      <c r="P37" s="280"/>
      <c r="Q37" s="281"/>
      <c r="R37" s="281"/>
      <c r="S37" s="282"/>
      <c r="T37" s="274" t="s">
        <v>128</v>
      </c>
      <c r="U37" s="283"/>
      <c r="V37" s="214"/>
      <c r="W37" s="201"/>
      <c r="Y37" s="9" t="s">
        <v>18</v>
      </c>
      <c r="Z37" s="9"/>
      <c r="AA37" s="9" t="s">
        <v>129</v>
      </c>
      <c r="AC37" s="9" t="s">
        <v>130</v>
      </c>
      <c r="AD37" s="8" t="s">
        <v>131</v>
      </c>
      <c r="AE37" s="8"/>
    </row>
    <row r="38" spans="1:31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82"/>
      <c r="R38" s="282"/>
      <c r="S38" s="282"/>
      <c r="T38" s="274" t="s">
        <v>132</v>
      </c>
      <c r="U38" s="200"/>
      <c r="V38" s="214"/>
      <c r="W38" s="201"/>
      <c r="Y38" s="9"/>
      <c r="Z38" s="9"/>
      <c r="AA38" s="9" t="s">
        <v>133</v>
      </c>
      <c r="AB38" s="9" t="s">
        <v>134</v>
      </c>
      <c r="AC38" s="9" t="s">
        <v>130</v>
      </c>
      <c r="AD38" s="8"/>
      <c r="AE38" s="8"/>
    </row>
    <row r="39" spans="1:31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46"/>
      <c r="R39" s="288"/>
      <c r="S39" s="288"/>
      <c r="T39" s="289"/>
      <c r="U39" s="290"/>
      <c r="V39" s="291"/>
      <c r="W39" s="292"/>
      <c r="Y39" s="9"/>
      <c r="Z39" s="9"/>
      <c r="AD39" s="8"/>
      <c r="AE39" s="8"/>
    </row>
    <row r="40" spans="1:31" ht="31.5" customHeight="1" thickTop="1">
      <c r="A40" s="293" t="s">
        <v>135</v>
      </c>
      <c r="B40" s="294">
        <f>B45+D45+F45+H45+J45+N45+L45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9"/>
      <c r="O40" s="300"/>
      <c r="P40" s="291"/>
      <c r="Q40" s="288"/>
      <c r="R40" s="301"/>
      <c r="S40" s="301"/>
      <c r="T40" s="580"/>
      <c r="U40" s="581"/>
      <c r="V40" s="581"/>
      <c r="W40" s="582"/>
      <c r="X40" s="302"/>
      <c r="Y40" s="303"/>
    </row>
    <row r="41" spans="1:31" ht="73" thickBot="1">
      <c r="A41" s="304" t="s">
        <v>136</v>
      </c>
      <c r="B41" s="305">
        <f>SUM(B43:R43)</f>
        <v>18.100000000000001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9"/>
      <c r="O41" s="300"/>
      <c r="P41" s="282"/>
      <c r="Q41" s="115"/>
      <c r="R41" s="301"/>
      <c r="S41" s="301"/>
      <c r="T41" s="583"/>
      <c r="U41" s="584"/>
      <c r="V41" s="584"/>
      <c r="W41" s="585"/>
      <c r="X41" s="302"/>
      <c r="Y41" s="303"/>
    </row>
    <row r="42" spans="1:31" ht="72">
      <c r="A42" s="304" t="s">
        <v>137</v>
      </c>
      <c r="B42" s="294">
        <f>B40/B41</f>
        <v>28.287292817679557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6"/>
      <c r="S42" s="306"/>
      <c r="T42" s="307"/>
      <c r="U42" s="308"/>
      <c r="V42" s="308"/>
      <c r="W42" s="309"/>
      <c r="X42" s="306"/>
      <c r="Y42" s="303"/>
    </row>
    <row r="43" spans="1:31" ht="72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2.5</v>
      </c>
      <c r="G43" s="297"/>
      <c r="H43" s="278">
        <f>I9</f>
        <v>3</v>
      </c>
      <c r="I43" s="299"/>
      <c r="J43" s="278">
        <f>K9</f>
        <v>3</v>
      </c>
      <c r="K43" s="299"/>
      <c r="L43" s="278">
        <f>M9</f>
        <v>3.3</v>
      </c>
      <c r="M43" s="299"/>
      <c r="N43" s="311">
        <f>O9</f>
        <v>1.3</v>
      </c>
      <c r="O43" s="300"/>
      <c r="P43" s="312"/>
      <c r="Q43" s="313"/>
      <c r="R43" s="313"/>
      <c r="S43" s="313"/>
      <c r="T43" s="314"/>
      <c r="U43" s="315"/>
      <c r="V43" s="315"/>
      <c r="W43" s="316"/>
      <c r="X43" s="317"/>
      <c r="Y43" s="303"/>
    </row>
    <row r="44" spans="1:31" ht="72">
      <c r="A44" s="304" t="s">
        <v>139</v>
      </c>
      <c r="B44" s="294">
        <f>B40/B41*B43-B45</f>
        <v>9.8618784530386705</v>
      </c>
      <c r="C44" s="295"/>
      <c r="D44" s="318">
        <f>B40/B41*D43-D45</f>
        <v>-7.4254143646408863</v>
      </c>
      <c r="E44" s="319"/>
      <c r="F44" s="318">
        <f>B40/B41*F43-F45</f>
        <v>-3.281767955801115</v>
      </c>
      <c r="G44" s="320"/>
      <c r="H44" s="321">
        <f>B40/B41*H43-H45</f>
        <v>19.861878453038671</v>
      </c>
      <c r="I44" s="322"/>
      <c r="J44" s="321">
        <f>B40/B41*J43-J45</f>
        <v>14.861878453038671</v>
      </c>
      <c r="K44" s="322"/>
      <c r="L44" s="321">
        <f>B40/B41*L43-L45</f>
        <v>-16.65193370165747</v>
      </c>
      <c r="M44" s="322"/>
      <c r="N44" s="311">
        <f>B40/B41*N43-N45</f>
        <v>-17.226519337016576</v>
      </c>
      <c r="O44" s="323"/>
      <c r="P44" s="324"/>
      <c r="Q44" s="324"/>
      <c r="R44" s="324"/>
      <c r="S44" s="325"/>
      <c r="T44" s="326"/>
      <c r="U44" s="327"/>
      <c r="V44" s="328"/>
      <c r="W44" s="329"/>
      <c r="X44" s="330"/>
      <c r="Y44" s="303"/>
    </row>
    <row r="45" spans="1:31" ht="73" thickBot="1">
      <c r="A45" s="310" t="s">
        <v>140</v>
      </c>
      <c r="B45" s="294">
        <v>75</v>
      </c>
      <c r="C45" s="295"/>
      <c r="D45" s="331">
        <v>64</v>
      </c>
      <c r="E45" s="130" t="s">
        <v>275</v>
      </c>
      <c r="F45" s="318">
        <v>74</v>
      </c>
      <c r="G45" s="320"/>
      <c r="H45" s="332">
        <v>65</v>
      </c>
      <c r="J45" s="321">
        <v>70</v>
      </c>
      <c r="K45" s="322"/>
      <c r="L45" s="333">
        <v>110</v>
      </c>
      <c r="M45" s="322"/>
      <c r="N45" s="334">
        <v>54</v>
      </c>
      <c r="O45" s="335"/>
      <c r="P45" s="336"/>
      <c r="Q45" s="325"/>
      <c r="R45" s="336"/>
      <c r="S45" s="325"/>
      <c r="T45" s="337"/>
      <c r="U45" s="338"/>
      <c r="V45" s="339"/>
      <c r="W45" s="340"/>
      <c r="X45" s="330"/>
      <c r="Y45" s="303"/>
    </row>
    <row r="46" spans="1:31" ht="120.75" customHeight="1" thickBot="1">
      <c r="A46" s="341" t="s">
        <v>142</v>
      </c>
      <c r="B46" s="342" t="s">
        <v>143</v>
      </c>
      <c r="C46" s="343">
        <v>73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147</v>
      </c>
      <c r="K46" s="348" t="s">
        <v>148</v>
      </c>
      <c r="L46" s="349" t="s">
        <v>149</v>
      </c>
      <c r="M46" s="348" t="s">
        <v>150</v>
      </c>
      <c r="N46" s="350" t="s">
        <v>151</v>
      </c>
      <c r="O46" s="351">
        <v>54</v>
      </c>
      <c r="P46" s="325"/>
      <c r="Q46" s="303"/>
      <c r="R46" s="325"/>
      <c r="S46" s="303"/>
      <c r="T46" s="352"/>
      <c r="U46" s="353"/>
      <c r="V46" s="328"/>
      <c r="W46" s="328"/>
      <c r="X46" s="330"/>
      <c r="Y46" s="303"/>
      <c r="AA46" s="9" t="s">
        <v>152</v>
      </c>
    </row>
    <row r="47" spans="1:31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6"/>
      <c r="O47" s="354"/>
      <c r="P47" s="354"/>
      <c r="Q47" s="354"/>
      <c r="R47" s="354"/>
      <c r="S47" s="354"/>
      <c r="T47" s="354"/>
      <c r="U47" s="354"/>
      <c r="V47" s="354"/>
      <c r="W47" s="354"/>
      <c r="X47" s="303"/>
      <c r="Y47" s="303"/>
    </row>
    <row r="48" spans="1:31" ht="72">
      <c r="A48" s="357" t="s">
        <v>153</v>
      </c>
      <c r="B48" s="354">
        <f>14-J69+I69+K69</f>
        <v>10.35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8"/>
      <c r="W48" s="358"/>
    </row>
    <row r="49" spans="1:25" ht="72">
      <c r="A49" s="357" t="s">
        <v>154</v>
      </c>
      <c r="B49" s="359">
        <f>B40/B48</f>
        <v>49.468599033816425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155</v>
      </c>
      <c r="B50" s="354">
        <f>B42*B43</f>
        <v>84.861878453038671</v>
      </c>
      <c r="C50" s="354"/>
      <c r="D50" s="354">
        <f>B42*D43</f>
        <v>56.574585635359114</v>
      </c>
      <c r="E50" s="354"/>
      <c r="F50" s="354">
        <f>B42*F43</f>
        <v>70.718232044198885</v>
      </c>
      <c r="G50" s="354"/>
      <c r="H50" s="359">
        <f>B42*H43</f>
        <v>84.861878453038671</v>
      </c>
      <c r="I50" s="354"/>
      <c r="J50" s="354">
        <f>B42*J43</f>
        <v>84.861878453038671</v>
      </c>
      <c r="K50" s="354"/>
      <c r="L50" s="359">
        <f>B42*L43</f>
        <v>93.34806629834253</v>
      </c>
      <c r="M50" s="354"/>
      <c r="N50" s="354">
        <f>B42*N43</f>
        <v>36.773480662983424</v>
      </c>
      <c r="O50" s="354"/>
      <c r="P50" s="354"/>
      <c r="Q50" s="354"/>
      <c r="R50" s="354"/>
      <c r="S50" s="354"/>
      <c r="T50" s="354"/>
      <c r="U50" s="354"/>
      <c r="V50" s="354"/>
      <c r="W50" s="354"/>
      <c r="X50" s="303"/>
      <c r="Y50" s="303"/>
    </row>
    <row r="51" spans="1:25" ht="72">
      <c r="A51" s="357" t="s">
        <v>156</v>
      </c>
      <c r="B51" s="354">
        <f>B50/B49</f>
        <v>1.7154696132596685</v>
      </c>
      <c r="C51" s="354"/>
      <c r="D51" s="354">
        <f>D50/B49</f>
        <v>1.1436464088397789</v>
      </c>
      <c r="E51" s="354"/>
      <c r="F51" s="354">
        <f>F50/B49</f>
        <v>1.4295580110497235</v>
      </c>
      <c r="G51" s="354"/>
      <c r="H51" s="354">
        <f>H50/B49</f>
        <v>1.7154696132596685</v>
      </c>
      <c r="I51" s="354"/>
      <c r="J51" s="354">
        <f>J50/B49</f>
        <v>1.7154696132596685</v>
      </c>
      <c r="K51" s="354"/>
      <c r="L51" s="359">
        <f>L50/B49</f>
        <v>1.8870165745856351</v>
      </c>
      <c r="M51" s="354"/>
      <c r="N51" s="354">
        <f>N50/B49</f>
        <v>0.74337016574585635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4"/>
      <c r="X54" s="303"/>
      <c r="Y54" s="303"/>
    </row>
    <row r="55" spans="1:25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53"/>
      <c r="Q58" s="353"/>
      <c r="R58" s="353"/>
      <c r="S58" s="353"/>
      <c r="T58" s="353"/>
      <c r="U58" s="353"/>
      <c r="V58" s="353"/>
      <c r="W58" s="355"/>
      <c r="X58" s="364"/>
      <c r="Y58" s="364"/>
    </row>
    <row r="59" spans="1:25">
      <c r="A59" s="364"/>
      <c r="B59" s="367" t="s">
        <v>162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53"/>
      <c r="W59" s="355"/>
      <c r="X59" s="364"/>
      <c r="Y59" s="364"/>
    </row>
    <row r="60" spans="1:25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8"/>
      <c r="R60" s="368"/>
      <c r="S60" s="368"/>
      <c r="T60" s="368"/>
      <c r="U60" s="368"/>
      <c r="V60" s="369"/>
      <c r="W60" s="364"/>
      <c r="X60" s="364"/>
      <c r="Y60" s="364"/>
    </row>
    <row r="61" spans="1:25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7" t="s">
        <v>165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</row>
    <row r="67" spans="1:25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</row>
    <row r="68" spans="1:25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6"/>
      <c r="C69" s="376">
        <v>0.75</v>
      </c>
      <c r="D69" s="376" t="s">
        <v>178</v>
      </c>
      <c r="E69" s="376">
        <v>0.25</v>
      </c>
      <c r="F69" s="376">
        <f>O17</f>
        <v>0.4</v>
      </c>
      <c r="G69" s="380">
        <v>2.25</v>
      </c>
      <c r="H69" s="376">
        <v>0</v>
      </c>
      <c r="I69" s="377">
        <v>0</v>
      </c>
      <c r="J69" s="376">
        <f>SUM(C69:H69)</f>
        <v>3.65</v>
      </c>
      <c r="K69" s="378">
        <v>0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2" spans="1:25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5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5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</row>
    <row r="77" spans="1:25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4:18">
      <c r="N98" s="385"/>
      <c r="O98" s="385"/>
      <c r="P98" s="385"/>
      <c r="Q98" s="385"/>
      <c r="R98" s="385"/>
    </row>
    <row r="99" spans="14:18">
      <c r="N99" s="386"/>
      <c r="O99" s="386"/>
      <c r="P99" s="386"/>
      <c r="Q99" s="386"/>
      <c r="R99" s="386"/>
    </row>
    <row r="100" spans="14:18">
      <c r="N100" s="386"/>
      <c r="O100" s="386"/>
      <c r="P100" s="386"/>
      <c r="Q100" s="386"/>
      <c r="R100" s="386"/>
    </row>
    <row r="101" spans="14:18" ht="36" thickBot="1">
      <c r="N101" s="387"/>
      <c r="O101" s="387"/>
      <c r="P101" s="387"/>
      <c r="Q101" s="388"/>
      <c r="R101" s="389"/>
    </row>
  </sheetData>
  <mergeCells count="6">
    <mergeCell ref="T40:W41"/>
    <mergeCell ref="P3:S3"/>
    <mergeCell ref="P17:S18"/>
    <mergeCell ref="P19:S19"/>
    <mergeCell ref="Q21:S21"/>
    <mergeCell ref="P22:S23"/>
  </mergeCells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01"/>
  <sheetViews>
    <sheetView zoomScale="20" zoomScaleNormal="20" workbookViewId="0">
      <selection activeCell="L4" sqref="L4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45896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4" t="s">
        <v>12</v>
      </c>
      <c r="E3" s="23"/>
      <c r="F3" s="24" t="s">
        <v>198</v>
      </c>
      <c r="G3" s="26"/>
      <c r="H3" s="22" t="s">
        <v>47</v>
      </c>
      <c r="I3" s="26"/>
      <c r="J3" s="24" t="s">
        <v>100</v>
      </c>
      <c r="K3" s="26"/>
      <c r="L3" s="24" t="s">
        <v>267</v>
      </c>
      <c r="M3" s="20">
        <v>0.75</v>
      </c>
      <c r="N3" s="24" t="s">
        <v>28</v>
      </c>
      <c r="O3" s="26"/>
      <c r="P3" s="586" t="s">
        <v>17</v>
      </c>
      <c r="Q3" s="587"/>
      <c r="R3" s="587"/>
      <c r="S3" s="588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22</v>
      </c>
      <c r="C4" s="21"/>
      <c r="D4" s="24" t="s">
        <v>23</v>
      </c>
      <c r="E4" s="26"/>
      <c r="F4" s="24" t="s">
        <v>265</v>
      </c>
      <c r="G4" s="21"/>
      <c r="H4" s="24" t="s">
        <v>25</v>
      </c>
      <c r="I4" s="26"/>
      <c r="J4" s="24" t="s">
        <v>26</v>
      </c>
      <c r="K4" s="32"/>
      <c r="L4" s="24" t="s">
        <v>243</v>
      </c>
      <c r="M4" s="26"/>
      <c r="N4" s="24" t="s">
        <v>16</v>
      </c>
      <c r="O4" s="21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33</v>
      </c>
      <c r="C5" s="21"/>
      <c r="D5" s="24"/>
      <c r="E5" s="26"/>
      <c r="F5" s="24"/>
      <c r="G5" s="26"/>
      <c r="H5" s="24" t="s">
        <v>37</v>
      </c>
      <c r="I5" s="25"/>
      <c r="J5" s="24" t="s">
        <v>14</v>
      </c>
      <c r="K5" s="26"/>
      <c r="L5" s="24" t="s">
        <v>27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6"/>
      <c r="H6" s="46"/>
      <c r="J6" s="24"/>
      <c r="K6" s="26"/>
      <c r="L6" s="24" t="s">
        <v>277</v>
      </c>
      <c r="M6" s="26" t="s">
        <v>290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21"/>
      <c r="L7" s="24" t="s">
        <v>13</v>
      </c>
      <c r="M7" s="20">
        <v>0.75</v>
      </c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3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276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2</v>
      </c>
      <c r="F9" s="32"/>
      <c r="G9" s="62">
        <v>2</v>
      </c>
      <c r="H9" s="63">
        <v>3</v>
      </c>
      <c r="I9" s="62">
        <f>H9-I11</f>
        <v>3</v>
      </c>
      <c r="J9" s="61"/>
      <c r="K9" s="60">
        <v>3</v>
      </c>
      <c r="L9" s="64">
        <v>3.75</v>
      </c>
      <c r="M9" s="62">
        <f>L9-M11</f>
        <v>3.75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435"/>
      <c r="Q10" s="67"/>
      <c r="R10" s="67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84"/>
      <c r="F11" s="85"/>
      <c r="G11" s="413"/>
      <c r="H11" s="87" t="s">
        <v>53</v>
      </c>
      <c r="I11" s="417">
        <v>0</v>
      </c>
      <c r="J11" s="85"/>
      <c r="K11" s="416"/>
      <c r="L11" s="414" t="s">
        <v>53</v>
      </c>
      <c r="M11" s="417">
        <v>0</v>
      </c>
      <c r="N11" s="85" t="s">
        <v>54</v>
      </c>
      <c r="O11" s="411">
        <v>0.7</v>
      </c>
      <c r="P11" s="92" t="s">
        <v>280</v>
      </c>
      <c r="Q11" s="92" t="s">
        <v>281</v>
      </c>
      <c r="R11" s="391" t="s">
        <v>189</v>
      </c>
      <c r="S11" s="399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 thickBot="1">
      <c r="A12" s="409" t="s">
        <v>58</v>
      </c>
      <c r="B12" s="397" t="s">
        <v>199</v>
      </c>
      <c r="C12" s="107" t="s">
        <v>191</v>
      </c>
      <c r="D12" s="97" t="s">
        <v>60</v>
      </c>
      <c r="E12" s="100" t="s">
        <v>59</v>
      </c>
      <c r="F12" s="407" t="s">
        <v>61</v>
      </c>
      <c r="G12" s="107" t="s">
        <v>59</v>
      </c>
      <c r="H12" s="97" t="s">
        <v>62</v>
      </c>
      <c r="I12" s="98" t="s">
        <v>59</v>
      </c>
      <c r="J12" s="97" t="s">
        <v>63</v>
      </c>
      <c r="K12" s="193" t="s">
        <v>213</v>
      </c>
      <c r="L12" s="99" t="s">
        <v>64</v>
      </c>
      <c r="M12" s="193" t="s">
        <v>213</v>
      </c>
      <c r="N12" s="404" t="s">
        <v>262</v>
      </c>
      <c r="O12" s="193" t="s">
        <v>213</v>
      </c>
      <c r="P12" s="92" t="s">
        <v>190</v>
      </c>
      <c r="Q12" s="92" t="s">
        <v>249</v>
      </c>
      <c r="R12" s="396" t="s">
        <v>200</v>
      </c>
      <c r="S12" s="400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5" t="s">
        <v>200</v>
      </c>
      <c r="C13" s="182" t="s">
        <v>213</v>
      </c>
      <c r="D13" s="395"/>
      <c r="E13" s="107"/>
      <c r="F13" s="391" t="s">
        <v>218</v>
      </c>
      <c r="G13" s="177" t="s">
        <v>72</v>
      </c>
      <c r="H13" s="391" t="s">
        <v>189</v>
      </c>
      <c r="I13" s="107" t="s">
        <v>191</v>
      </c>
      <c r="J13" s="391" t="s">
        <v>73</v>
      </c>
      <c r="K13" s="100" t="s">
        <v>248</v>
      </c>
      <c r="L13" s="391" t="s">
        <v>212</v>
      </c>
      <c r="M13" s="193" t="s">
        <v>213</v>
      </c>
      <c r="N13" s="391" t="s">
        <v>73</v>
      </c>
      <c r="O13" s="177" t="s">
        <v>72</v>
      </c>
      <c r="P13" s="92" t="s">
        <v>75</v>
      </c>
      <c r="Q13" s="391" t="s">
        <v>73</v>
      </c>
      <c r="R13" s="391"/>
      <c r="S13" s="400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5"/>
      <c r="C14" s="107"/>
      <c r="D14" s="391"/>
      <c r="E14" s="107"/>
      <c r="F14" s="391"/>
      <c r="G14" s="107"/>
      <c r="H14" s="391"/>
      <c r="I14" s="107"/>
      <c r="J14" s="391" t="s">
        <v>189</v>
      </c>
      <c r="K14" s="193" t="s">
        <v>74</v>
      </c>
      <c r="L14" s="391"/>
      <c r="M14" s="100"/>
      <c r="N14" s="420"/>
      <c r="O14" s="107"/>
      <c r="P14" s="109" t="s">
        <v>206</v>
      </c>
      <c r="Q14" s="92" t="s">
        <v>212</v>
      </c>
      <c r="R14" s="391"/>
      <c r="S14" s="401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391"/>
      <c r="C15" s="437"/>
      <c r="D15" s="395"/>
      <c r="E15" s="107"/>
      <c r="F15" s="99"/>
      <c r="G15" s="107"/>
      <c r="H15" s="106"/>
      <c r="J15" s="395"/>
      <c r="K15" s="193"/>
      <c r="L15" s="391"/>
      <c r="M15" s="100"/>
      <c r="N15" s="24"/>
      <c r="O15" s="107"/>
      <c r="P15" s="109" t="s">
        <v>82</v>
      </c>
      <c r="Q15" s="92" t="s">
        <v>63</v>
      </c>
      <c r="R15" s="391"/>
      <c r="S15" s="401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427"/>
      <c r="F16" s="125"/>
      <c r="G16" s="127"/>
      <c r="H16" s="128"/>
      <c r="I16" s="26"/>
      <c r="J16" s="391"/>
      <c r="K16" s="193"/>
      <c r="L16" s="129"/>
      <c r="N16" s="129"/>
      <c r="O16" s="52"/>
      <c r="P16" s="396" t="s">
        <v>273</v>
      </c>
      <c r="Q16" s="131" t="s">
        <v>262</v>
      </c>
      <c r="R16" s="391"/>
      <c r="S16" s="399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426"/>
      <c r="D17" s="432" t="s">
        <v>249</v>
      </c>
      <c r="E17" s="431" t="s">
        <v>85</v>
      </c>
      <c r="F17" s="432" t="s">
        <v>249</v>
      </c>
      <c r="G17" s="433" t="s">
        <v>208</v>
      </c>
      <c r="H17" s="125" t="s">
        <v>266</v>
      </c>
      <c r="I17" s="140" t="s">
        <v>87</v>
      </c>
      <c r="J17" s="46"/>
      <c r="K17" s="422"/>
      <c r="L17" s="125"/>
      <c r="M17" s="140"/>
      <c r="N17" s="141" t="s">
        <v>54</v>
      </c>
      <c r="O17" s="142">
        <v>0.4</v>
      </c>
      <c r="P17" s="589" t="s">
        <v>195</v>
      </c>
      <c r="Q17" s="590"/>
      <c r="R17" s="591"/>
      <c r="S17" s="592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B51</f>
        <v>1.7202216066481995</v>
      </c>
      <c r="C18" s="150"/>
      <c r="D18" s="148">
        <f>D51</f>
        <v>1.1468144044321329</v>
      </c>
      <c r="E18" s="149"/>
      <c r="F18" s="148">
        <f>F51</f>
        <v>1.1468144044321329</v>
      </c>
      <c r="G18" s="150"/>
      <c r="H18" s="148">
        <f>H51</f>
        <v>1.7202216066481995</v>
      </c>
      <c r="I18" s="150"/>
      <c r="J18" s="148">
        <f>J51</f>
        <v>1.7202216066481995</v>
      </c>
      <c r="K18" s="149"/>
      <c r="L18" s="151">
        <f>L51</f>
        <v>2.1502770083102494</v>
      </c>
      <c r="M18" s="149"/>
      <c r="N18" s="152">
        <f>N51</f>
        <v>0.74542936288088646</v>
      </c>
      <c r="O18" s="149">
        <f>N18+O17</f>
        <v>1.1454293628808865</v>
      </c>
      <c r="P18" s="593"/>
      <c r="Q18" s="594"/>
      <c r="R18" s="594"/>
      <c r="S18" s="595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430"/>
      <c r="G19" s="158"/>
      <c r="H19" s="56"/>
      <c r="I19" s="107"/>
      <c r="J19" s="159"/>
      <c r="K19" s="160"/>
      <c r="L19" s="56"/>
      <c r="M19" s="107"/>
      <c r="N19" s="56"/>
      <c r="O19" s="107"/>
      <c r="P19" s="596" t="s">
        <v>90</v>
      </c>
      <c r="Q19" s="597"/>
      <c r="R19" s="597"/>
      <c r="S19" s="598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20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163"/>
      <c r="Q20" s="164"/>
      <c r="R20" s="164"/>
      <c r="S20" s="165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388.5" customHeight="1" thickBot="1">
      <c r="A21" s="51"/>
      <c r="B21" s="56"/>
      <c r="C21" s="182"/>
      <c r="D21" s="56"/>
      <c r="E21" s="107"/>
      <c r="F21" s="72"/>
      <c r="G21" s="167"/>
      <c r="H21" s="24"/>
      <c r="I21" s="107"/>
      <c r="J21" s="56"/>
      <c r="K21" s="107"/>
      <c r="L21" s="24"/>
      <c r="M21" s="107"/>
      <c r="N21" s="24"/>
      <c r="O21" s="20"/>
      <c r="P21" s="168"/>
      <c r="Q21" s="602" t="s">
        <v>93</v>
      </c>
      <c r="R21" s="602"/>
      <c r="S21" s="603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59">
      <c r="A22" s="19"/>
      <c r="D22" s="46"/>
      <c r="F22" s="170"/>
      <c r="G22" s="171"/>
      <c r="H22" s="24"/>
      <c r="I22" s="172"/>
      <c r="J22" s="173"/>
      <c r="K22" s="172"/>
      <c r="L22" s="174"/>
      <c r="M22" s="175"/>
      <c r="N22" s="176"/>
      <c r="O22" s="177"/>
      <c r="P22" s="604"/>
      <c r="Q22" s="605"/>
      <c r="R22" s="605"/>
      <c r="S22" s="606"/>
      <c r="T22" s="110"/>
      <c r="U22" s="178"/>
      <c r="V22" s="179"/>
      <c r="W22" s="180"/>
      <c r="Y22" s="181" t="s">
        <v>94</v>
      </c>
      <c r="Z22" s="156" t="s">
        <v>95</v>
      </c>
      <c r="AA22" s="136"/>
      <c r="AD22" s="8"/>
      <c r="AE22" s="8"/>
    </row>
    <row r="23" spans="1:60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K23" s="185"/>
      <c r="L23" s="186"/>
      <c r="M23" s="187"/>
      <c r="N23" s="159"/>
      <c r="O23" s="177"/>
      <c r="P23" s="607"/>
      <c r="Q23" s="608"/>
      <c r="R23" s="608"/>
      <c r="S23" s="609"/>
      <c r="T23" s="110"/>
      <c r="U23" s="178"/>
      <c r="V23" s="179"/>
      <c r="W23" s="180"/>
      <c r="Y23" s="181"/>
      <c r="Z23" s="156"/>
      <c r="AA23" s="136"/>
      <c r="AD23" s="8"/>
      <c r="AE23" s="8"/>
    </row>
    <row r="24" spans="1:60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173"/>
      <c r="M24" s="172"/>
      <c r="N24" s="159"/>
      <c r="O24" s="177"/>
      <c r="P24" s="188"/>
      <c r="Q24" s="189"/>
      <c r="R24" s="190"/>
      <c r="S24" s="189"/>
      <c r="T24" s="110"/>
      <c r="U24" s="178"/>
      <c r="V24" s="179"/>
      <c r="W24" s="180"/>
      <c r="Y24" s="191" t="s">
        <v>96</v>
      </c>
      <c r="Z24" s="192"/>
      <c r="AA24" s="136"/>
      <c r="AD24" s="8"/>
      <c r="AE24" s="8"/>
    </row>
    <row r="25" spans="1:60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59"/>
      <c r="O25" s="193"/>
      <c r="P25" s="49"/>
      <c r="Q25" s="49"/>
      <c r="R25" s="194"/>
      <c r="S25" s="50"/>
      <c r="T25" s="110"/>
      <c r="U25" s="178"/>
      <c r="V25" s="179"/>
      <c r="W25" s="180"/>
      <c r="Y25" s="191"/>
      <c r="Z25" s="192"/>
      <c r="AA25" s="136"/>
      <c r="AD25" s="8"/>
      <c r="AE25" s="8"/>
    </row>
    <row r="26" spans="1:60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56"/>
      <c r="O26" s="197"/>
      <c r="Q26" s="49"/>
      <c r="R26" s="189" t="s">
        <v>264</v>
      </c>
      <c r="S26" s="49"/>
      <c r="T26" s="198"/>
      <c r="U26" s="199"/>
      <c r="V26" s="200"/>
      <c r="W26" s="201"/>
      <c r="Y26" s="202" t="s">
        <v>97</v>
      </c>
      <c r="Z26" s="192"/>
      <c r="AA26" s="136"/>
      <c r="AD26" s="8"/>
      <c r="AE26" s="8"/>
    </row>
    <row r="27" spans="1:60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97"/>
      <c r="P27" s="205"/>
      <c r="Q27" s="206"/>
      <c r="R27" s="205"/>
      <c r="S27" s="205"/>
      <c r="T27" s="198"/>
      <c r="U27" s="199"/>
      <c r="V27" s="200"/>
      <c r="W27" s="201"/>
      <c r="Y27" s="207"/>
      <c r="Z27" s="192"/>
      <c r="AA27" s="136"/>
      <c r="AB27" s="8"/>
      <c r="AD27" s="8"/>
      <c r="AE27" s="8"/>
    </row>
    <row r="28" spans="1:60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56"/>
      <c r="O28" s="197"/>
      <c r="P28" s="93"/>
      <c r="Q28" s="93"/>
      <c r="R28" s="93"/>
      <c r="S28" s="93"/>
      <c r="T28" s="210"/>
      <c r="U28" s="199"/>
      <c r="V28" s="200"/>
      <c r="W28" s="201"/>
      <c r="Y28" s="46"/>
      <c r="Z28" s="192"/>
      <c r="AA28" s="136"/>
      <c r="AD28" s="8"/>
      <c r="AE28" s="8"/>
    </row>
    <row r="29" spans="1:60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56"/>
      <c r="O29" s="212"/>
      <c r="P29" s="194"/>
      <c r="Q29" s="189"/>
      <c r="R29" s="49"/>
      <c r="S29" s="49"/>
      <c r="T29" s="213"/>
      <c r="U29" s="199"/>
      <c r="V29" s="214"/>
      <c r="W29" s="201"/>
      <c r="Y29" s="215"/>
      <c r="Z29" s="192"/>
      <c r="AA29" s="136"/>
      <c r="AD29" s="8"/>
      <c r="AE29" s="8"/>
    </row>
    <row r="30" spans="1:60" s="192" customFormat="1" ht="83.25" customHeight="1" thickBot="1">
      <c r="A30" s="216"/>
      <c r="B30" s="217">
        <f>B44</f>
        <v>10.096952908587255</v>
      </c>
      <c r="C30" s="218"/>
      <c r="D30" s="219">
        <f>D44</f>
        <v>-7.2686980609418299</v>
      </c>
      <c r="E30" s="220"/>
      <c r="F30" s="221">
        <f>F44</f>
        <v>-17.26869806094183</v>
      </c>
      <c r="G30" s="221"/>
      <c r="H30" s="217">
        <f>H44</f>
        <v>20.096952908587255</v>
      </c>
      <c r="I30" s="218"/>
      <c r="J30" s="217">
        <f>J44</f>
        <v>15.096952908587255</v>
      </c>
      <c r="K30" s="222"/>
      <c r="L30" s="217">
        <f>L44</f>
        <v>-3.6288088642659346</v>
      </c>
      <c r="M30" s="222"/>
      <c r="N30" s="152">
        <f>N44</f>
        <v>-17.124653739612185</v>
      </c>
      <c r="O30" s="218"/>
      <c r="P30" s="223"/>
      <c r="Q30" s="224"/>
      <c r="R30" s="224"/>
      <c r="S30" s="224"/>
      <c r="T30" s="225"/>
      <c r="U30" s="226"/>
      <c r="V30" s="227"/>
      <c r="W30" s="228"/>
      <c r="Y30" s="192" t="s">
        <v>98</v>
      </c>
    </row>
    <row r="31" spans="1:60" ht="273" customHeight="1" thickTop="1">
      <c r="A31" s="19"/>
      <c r="B31" s="24"/>
      <c r="C31" s="229"/>
      <c r="D31" s="418" t="s">
        <v>34</v>
      </c>
      <c r="E31" s="229" t="s">
        <v>99</v>
      </c>
      <c r="F31" s="418"/>
      <c r="G31" s="229"/>
      <c r="H31" s="24"/>
      <c r="I31" s="229"/>
      <c r="J31" s="24"/>
      <c r="K31" s="229"/>
      <c r="L31" s="22" t="s">
        <v>38</v>
      </c>
      <c r="M31" s="229" t="s">
        <v>99</v>
      </c>
      <c r="N31" s="22"/>
      <c r="O31" s="434"/>
      <c r="P31" s="231" t="s">
        <v>53</v>
      </c>
      <c r="Q31" s="232" t="s">
        <v>102</v>
      </c>
      <c r="R31" s="233"/>
      <c r="S31" s="234"/>
      <c r="T31" s="110"/>
      <c r="U31" s="28"/>
      <c r="V31" s="235"/>
      <c r="W31" s="236"/>
    </row>
    <row r="32" spans="1:60" ht="222" customHeight="1">
      <c r="A32" s="96"/>
      <c r="B32" s="24"/>
      <c r="C32" s="107"/>
      <c r="D32" s="24"/>
      <c r="E32" s="229"/>
      <c r="F32" s="24"/>
      <c r="G32" s="229"/>
      <c r="H32" s="24"/>
      <c r="I32" s="230"/>
      <c r="J32" s="24"/>
      <c r="K32" s="229"/>
      <c r="L32" s="24" t="s">
        <v>15</v>
      </c>
      <c r="M32" s="107" t="s">
        <v>289</v>
      </c>
      <c r="N32" s="24"/>
      <c r="O32" s="229"/>
      <c r="P32" s="237" t="s">
        <v>103</v>
      </c>
      <c r="Q32" s="238"/>
      <c r="R32" s="239"/>
      <c r="S32" s="234"/>
      <c r="T32" s="68"/>
      <c r="U32" s="28"/>
      <c r="V32" s="201"/>
      <c r="W32" s="201"/>
      <c r="Y32" s="240" t="s">
        <v>104</v>
      </c>
      <c r="Z32" s="240"/>
      <c r="AA32" s="240" t="s">
        <v>105</v>
      </c>
      <c r="AB32" s="240" t="s">
        <v>106</v>
      </c>
      <c r="AC32" s="8" t="s">
        <v>107</v>
      </c>
      <c r="AD32" s="192"/>
      <c r="AE32" s="192"/>
      <c r="AF32" s="192"/>
      <c r="AG32" s="192"/>
      <c r="AH32" s="192"/>
    </row>
    <row r="33" spans="1:31" ht="168.75" customHeight="1">
      <c r="A33" s="19"/>
      <c r="B33" s="241"/>
      <c r="C33" s="107"/>
      <c r="D33" s="242"/>
      <c r="E33" s="243"/>
      <c r="F33" s="244"/>
      <c r="G33" s="241"/>
      <c r="H33" s="24"/>
      <c r="I33" s="230"/>
      <c r="J33" s="72"/>
      <c r="K33" s="20"/>
      <c r="L33" s="24"/>
      <c r="M33" s="229"/>
      <c r="N33" s="24"/>
      <c r="O33" s="107"/>
      <c r="P33" s="245" t="s">
        <v>108</v>
      </c>
      <c r="Q33" s="246" t="s">
        <v>197</v>
      </c>
      <c r="R33" s="232" t="s">
        <v>109</v>
      </c>
      <c r="S33" s="247" t="s">
        <v>110</v>
      </c>
      <c r="T33" s="68"/>
      <c r="U33" s="123"/>
      <c r="V33" s="201"/>
      <c r="W33" s="201"/>
      <c r="Y33" s="9" t="s">
        <v>111</v>
      </c>
      <c r="Z33" s="9"/>
      <c r="AA33" s="9" t="s">
        <v>105</v>
      </c>
      <c r="AB33" s="9" t="s">
        <v>112</v>
      </c>
      <c r="AC33" s="9" t="s">
        <v>113</v>
      </c>
      <c r="AD33" s="8"/>
      <c r="AE33" s="8"/>
    </row>
    <row r="34" spans="1:31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56"/>
      <c r="O34" s="57"/>
      <c r="P34" s="252" t="s">
        <v>114</v>
      </c>
      <c r="Q34" s="253" t="s">
        <v>115</v>
      </c>
      <c r="R34" s="233" t="s">
        <v>116</v>
      </c>
      <c r="S34" s="49"/>
      <c r="T34" s="68"/>
      <c r="U34" s="123"/>
      <c r="V34" s="201"/>
      <c r="W34" s="201" t="s">
        <v>117</v>
      </c>
      <c r="Y34" s="9" t="s">
        <v>2</v>
      </c>
      <c r="Z34" s="9"/>
      <c r="AA34" s="9" t="s">
        <v>105</v>
      </c>
      <c r="AB34" s="9" t="s">
        <v>118</v>
      </c>
      <c r="AC34" s="9" t="s">
        <v>113</v>
      </c>
      <c r="AD34" s="8"/>
      <c r="AE34" s="8"/>
    </row>
    <row r="35" spans="1:31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56"/>
      <c r="O35" s="57"/>
      <c r="P35" s="259"/>
      <c r="Q35" s="260"/>
      <c r="R35" s="260"/>
      <c r="S35" s="261"/>
      <c r="T35" s="68"/>
      <c r="U35" s="123"/>
      <c r="V35" s="200"/>
      <c r="W35" s="201"/>
      <c r="Y35" s="9" t="s">
        <v>119</v>
      </c>
      <c r="Z35" s="9"/>
      <c r="AA35" s="9" t="s">
        <v>120</v>
      </c>
      <c r="AB35" s="9" t="s">
        <v>121</v>
      </c>
      <c r="AC35" s="9" t="s">
        <v>122</v>
      </c>
      <c r="AD35" s="8" t="s">
        <v>107</v>
      </c>
      <c r="AE35" s="8"/>
    </row>
    <row r="36" spans="1:31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6"/>
      <c r="O36" s="267"/>
      <c r="P36" s="268"/>
      <c r="Q36" s="269"/>
      <c r="R36" s="269"/>
      <c r="S36" s="270"/>
      <c r="T36" s="271"/>
      <c r="U36" s="272"/>
      <c r="V36" s="228"/>
      <c r="W36" s="228"/>
      <c r="Y36" s="9" t="s">
        <v>123</v>
      </c>
      <c r="Z36" s="9"/>
      <c r="AA36" s="9" t="s">
        <v>120</v>
      </c>
      <c r="AB36" s="9" t="s">
        <v>124</v>
      </c>
      <c r="AC36" s="9" t="s">
        <v>113</v>
      </c>
      <c r="AD36" s="8"/>
      <c r="AE36" s="8"/>
    </row>
    <row r="37" spans="1:31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77"/>
      <c r="M37" s="200"/>
      <c r="N37" s="279"/>
      <c r="O37" s="200"/>
      <c r="P37" s="280"/>
      <c r="Q37" s="281"/>
      <c r="R37" s="281"/>
      <c r="S37" s="282"/>
      <c r="T37" s="274" t="s">
        <v>128</v>
      </c>
      <c r="U37" s="283"/>
      <c r="V37" s="214"/>
      <c r="W37" s="201"/>
      <c r="Y37" s="9" t="s">
        <v>18</v>
      </c>
      <c r="Z37" s="9"/>
      <c r="AA37" s="9" t="s">
        <v>129</v>
      </c>
      <c r="AC37" s="9" t="s">
        <v>130</v>
      </c>
      <c r="AD37" s="8" t="s">
        <v>131</v>
      </c>
      <c r="AE37" s="8"/>
    </row>
    <row r="38" spans="1:31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82"/>
      <c r="R38" s="282"/>
      <c r="S38" s="282"/>
      <c r="T38" s="274" t="s">
        <v>132</v>
      </c>
      <c r="U38" s="200"/>
      <c r="V38" s="214"/>
      <c r="W38" s="201"/>
      <c r="Y38" s="9"/>
      <c r="Z38" s="9"/>
      <c r="AA38" s="9" t="s">
        <v>133</v>
      </c>
      <c r="AB38" s="9" t="s">
        <v>134</v>
      </c>
      <c r="AC38" s="9" t="s">
        <v>130</v>
      </c>
      <c r="AD38" s="8"/>
      <c r="AE38" s="8"/>
    </row>
    <row r="39" spans="1:31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46"/>
      <c r="R39" s="288"/>
      <c r="S39" s="288"/>
      <c r="T39" s="289"/>
      <c r="U39" s="290"/>
      <c r="V39" s="291"/>
      <c r="W39" s="292"/>
      <c r="Y39" s="9"/>
      <c r="Z39" s="9"/>
      <c r="AD39" s="8"/>
      <c r="AE39" s="8"/>
    </row>
    <row r="40" spans="1:31" ht="31.5" customHeight="1" thickTop="1">
      <c r="A40" s="293" t="s">
        <v>135</v>
      </c>
      <c r="B40" s="294">
        <f>B45+D45+F45+H45+J45+N45+L45</f>
        <v>512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9"/>
      <c r="O40" s="300"/>
      <c r="P40" s="291"/>
      <c r="Q40" s="288"/>
      <c r="R40" s="301"/>
      <c r="S40" s="301"/>
      <c r="T40" s="580"/>
      <c r="U40" s="581"/>
      <c r="V40" s="581"/>
      <c r="W40" s="582"/>
      <c r="X40" s="302"/>
      <c r="Y40" s="303"/>
    </row>
    <row r="41" spans="1:31" ht="73" thickBot="1">
      <c r="A41" s="304" t="s">
        <v>136</v>
      </c>
      <c r="B41" s="305">
        <f>SUM(B43:R43)</f>
        <v>18.05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9"/>
      <c r="O41" s="300"/>
      <c r="P41" s="282"/>
      <c r="Q41" s="115"/>
      <c r="R41" s="301"/>
      <c r="S41" s="301"/>
      <c r="T41" s="583"/>
      <c r="U41" s="584"/>
      <c r="V41" s="584"/>
      <c r="W41" s="585"/>
      <c r="X41" s="302"/>
      <c r="Y41" s="303"/>
    </row>
    <row r="42" spans="1:31" ht="72">
      <c r="A42" s="304" t="s">
        <v>137</v>
      </c>
      <c r="B42" s="294">
        <f>B40/B41</f>
        <v>28.365650969529085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6"/>
      <c r="S42" s="306"/>
      <c r="T42" s="307"/>
      <c r="U42" s="308"/>
      <c r="V42" s="308"/>
      <c r="W42" s="309"/>
      <c r="X42" s="306"/>
      <c r="Y42" s="303"/>
    </row>
    <row r="43" spans="1:31" ht="72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</v>
      </c>
      <c r="G43" s="297"/>
      <c r="H43" s="278">
        <f>I9</f>
        <v>3</v>
      </c>
      <c r="I43" s="299"/>
      <c r="J43" s="278">
        <f>K9</f>
        <v>3</v>
      </c>
      <c r="K43" s="299"/>
      <c r="L43" s="278">
        <f>M9</f>
        <v>3.75</v>
      </c>
      <c r="M43" s="299"/>
      <c r="N43" s="311">
        <f>O9</f>
        <v>1.3</v>
      </c>
      <c r="O43" s="300"/>
      <c r="P43" s="312"/>
      <c r="Q43" s="313"/>
      <c r="R43" s="313"/>
      <c r="S43" s="313"/>
      <c r="T43" s="314"/>
      <c r="U43" s="315"/>
      <c r="V43" s="315"/>
      <c r="W43" s="316"/>
      <c r="X43" s="317"/>
      <c r="Y43" s="303"/>
    </row>
    <row r="44" spans="1:31" ht="72">
      <c r="A44" s="304" t="s">
        <v>139</v>
      </c>
      <c r="B44" s="294">
        <f>B40/B41*B43-B45</f>
        <v>10.096952908587255</v>
      </c>
      <c r="C44" s="295"/>
      <c r="D44" s="318">
        <f>B40/B41*D43-D45</f>
        <v>-7.2686980609418299</v>
      </c>
      <c r="E44" s="319"/>
      <c r="F44" s="318">
        <f>B40/B41*F43-F45</f>
        <v>-17.26869806094183</v>
      </c>
      <c r="G44" s="320"/>
      <c r="H44" s="321">
        <f>B40/B41*H43-H45</f>
        <v>20.096952908587255</v>
      </c>
      <c r="I44" s="322"/>
      <c r="J44" s="321">
        <f>B40/B41*J43-J45</f>
        <v>15.096952908587255</v>
      </c>
      <c r="K44" s="322"/>
      <c r="L44" s="321">
        <f>B40/B41*L43-L45</f>
        <v>-3.6288088642659346</v>
      </c>
      <c r="M44" s="322"/>
      <c r="N44" s="311">
        <f>B40/B41*N43-N45</f>
        <v>-17.124653739612185</v>
      </c>
      <c r="O44" s="323"/>
      <c r="P44" s="324"/>
      <c r="Q44" s="324"/>
      <c r="R44" s="324"/>
      <c r="S44" s="325"/>
      <c r="T44" s="326"/>
      <c r="U44" s="327"/>
      <c r="V44" s="328"/>
      <c r="W44" s="329"/>
      <c r="X44" s="330"/>
      <c r="Y44" s="303"/>
    </row>
    <row r="45" spans="1:31" ht="73" thickBot="1">
      <c r="A45" s="310" t="s">
        <v>140</v>
      </c>
      <c r="B45" s="294">
        <v>75</v>
      </c>
      <c r="C45" s="295"/>
      <c r="D45" s="331">
        <v>64</v>
      </c>
      <c r="E45" s="130" t="s">
        <v>275</v>
      </c>
      <c r="F45" s="318">
        <v>74</v>
      </c>
      <c r="G45" s="320"/>
      <c r="H45" s="332">
        <v>65</v>
      </c>
      <c r="J45" s="321">
        <v>70</v>
      </c>
      <c r="K45" s="322"/>
      <c r="L45" s="333">
        <v>110</v>
      </c>
      <c r="M45" s="322"/>
      <c r="N45" s="334">
        <v>54</v>
      </c>
      <c r="O45" s="335"/>
      <c r="P45" s="336"/>
      <c r="Q45" s="325"/>
      <c r="R45" s="336"/>
      <c r="S45" s="325"/>
      <c r="T45" s="337"/>
      <c r="U45" s="338"/>
      <c r="V45" s="339"/>
      <c r="W45" s="340"/>
      <c r="X45" s="330"/>
      <c r="Y45" s="303"/>
    </row>
    <row r="46" spans="1:31" ht="120.75" customHeight="1" thickBot="1">
      <c r="A46" s="341" t="s">
        <v>142</v>
      </c>
      <c r="B46" s="342" t="s">
        <v>143</v>
      </c>
      <c r="C46" s="343">
        <v>73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147</v>
      </c>
      <c r="K46" s="348" t="s">
        <v>148</v>
      </c>
      <c r="L46" s="349" t="s">
        <v>149</v>
      </c>
      <c r="M46" s="348" t="s">
        <v>150</v>
      </c>
      <c r="N46" s="350" t="s">
        <v>151</v>
      </c>
      <c r="O46" s="351">
        <v>54</v>
      </c>
      <c r="P46" s="325"/>
      <c r="Q46" s="303"/>
      <c r="R46" s="325"/>
      <c r="S46" s="303"/>
      <c r="T46" s="352"/>
      <c r="U46" s="353"/>
      <c r="V46" s="328"/>
      <c r="W46" s="328"/>
      <c r="X46" s="330"/>
      <c r="Y46" s="303"/>
      <c r="AA46" s="9" t="s">
        <v>152</v>
      </c>
    </row>
    <row r="47" spans="1:31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6"/>
      <c r="O47" s="354"/>
      <c r="P47" s="354"/>
      <c r="Q47" s="354"/>
      <c r="R47" s="354"/>
      <c r="S47" s="354"/>
      <c r="T47" s="354"/>
      <c r="U47" s="354"/>
      <c r="V47" s="354"/>
      <c r="W47" s="354"/>
      <c r="X47" s="303"/>
      <c r="Y47" s="303"/>
    </row>
    <row r="48" spans="1:31" ht="72">
      <c r="A48" s="357" t="s">
        <v>153</v>
      </c>
      <c r="B48" s="354">
        <f>14-J69+I69+K69</f>
        <v>10.35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8"/>
      <c r="W48" s="358"/>
    </row>
    <row r="49" spans="1:25" ht="72">
      <c r="A49" s="357" t="s">
        <v>154</v>
      </c>
      <c r="B49" s="359">
        <f>B40/B48</f>
        <v>49.468599033816425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155</v>
      </c>
      <c r="B50" s="354">
        <f>B42*B43</f>
        <v>85.096952908587255</v>
      </c>
      <c r="C50" s="354"/>
      <c r="D50" s="354">
        <f>B42*D43</f>
        <v>56.73130193905817</v>
      </c>
      <c r="E50" s="354"/>
      <c r="F50" s="354">
        <f>B42*F43</f>
        <v>56.73130193905817</v>
      </c>
      <c r="G50" s="354"/>
      <c r="H50" s="359">
        <f>B42*H43</f>
        <v>85.096952908587255</v>
      </c>
      <c r="I50" s="354"/>
      <c r="J50" s="354">
        <f>B42*J43</f>
        <v>85.096952908587255</v>
      </c>
      <c r="K50" s="354"/>
      <c r="L50" s="359">
        <f>B42*L43</f>
        <v>106.37119113573407</v>
      </c>
      <c r="M50" s="354"/>
      <c r="N50" s="354">
        <f>B42*N43</f>
        <v>36.875346260387815</v>
      </c>
      <c r="O50" s="354"/>
      <c r="P50" s="354"/>
      <c r="Q50" s="354"/>
      <c r="R50" s="354"/>
      <c r="S50" s="354"/>
      <c r="T50" s="354"/>
      <c r="U50" s="354"/>
      <c r="V50" s="354"/>
      <c r="W50" s="354"/>
      <c r="X50" s="303"/>
      <c r="Y50" s="303"/>
    </row>
    <row r="51" spans="1:25" ht="72">
      <c r="A51" s="357" t="s">
        <v>156</v>
      </c>
      <c r="B51" s="354">
        <f>B50/B49</f>
        <v>1.7202216066481995</v>
      </c>
      <c r="C51" s="354"/>
      <c r="D51" s="354">
        <f>D50/B49</f>
        <v>1.1468144044321329</v>
      </c>
      <c r="E51" s="354"/>
      <c r="F51" s="354">
        <f>F50/B49</f>
        <v>1.1468144044321329</v>
      </c>
      <c r="G51" s="354"/>
      <c r="H51" s="354">
        <f>H50/B49</f>
        <v>1.7202216066481995</v>
      </c>
      <c r="I51" s="354"/>
      <c r="J51" s="354">
        <f>J50/B49</f>
        <v>1.7202216066481995</v>
      </c>
      <c r="K51" s="354"/>
      <c r="L51" s="359">
        <f>L50/B49</f>
        <v>2.1502770083102494</v>
      </c>
      <c r="M51" s="354"/>
      <c r="N51" s="354">
        <f>N50/B49</f>
        <v>0.74542936288088646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4"/>
      <c r="X54" s="303"/>
      <c r="Y54" s="303"/>
    </row>
    <row r="55" spans="1:25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53"/>
      <c r="Q58" s="353"/>
      <c r="R58" s="353"/>
      <c r="S58" s="353"/>
      <c r="T58" s="353"/>
      <c r="U58" s="353"/>
      <c r="V58" s="353"/>
      <c r="W58" s="355"/>
      <c r="X58" s="364"/>
      <c r="Y58" s="364"/>
    </row>
    <row r="59" spans="1:25">
      <c r="A59" s="364"/>
      <c r="B59" s="367" t="s">
        <v>162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53"/>
      <c r="W59" s="355"/>
      <c r="X59" s="364"/>
      <c r="Y59" s="364"/>
    </row>
    <row r="60" spans="1:25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8"/>
      <c r="R60" s="368"/>
      <c r="S60" s="368"/>
      <c r="T60" s="368"/>
      <c r="U60" s="368"/>
      <c r="V60" s="369"/>
      <c r="W60" s="364"/>
      <c r="X60" s="364"/>
      <c r="Y60" s="364"/>
    </row>
    <row r="61" spans="1:25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7" t="s">
        <v>165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</row>
    <row r="67" spans="1:25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</row>
    <row r="68" spans="1:25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6"/>
      <c r="C69" s="376">
        <v>0.75</v>
      </c>
      <c r="D69" s="376" t="s">
        <v>178</v>
      </c>
      <c r="E69" s="376">
        <v>0.25</v>
      </c>
      <c r="F69" s="376">
        <f>O17</f>
        <v>0.4</v>
      </c>
      <c r="G69" s="380">
        <v>2.25</v>
      </c>
      <c r="H69" s="376">
        <v>0</v>
      </c>
      <c r="I69" s="377">
        <v>0</v>
      </c>
      <c r="J69" s="376">
        <f>SUM(C69:H69)</f>
        <v>3.65</v>
      </c>
      <c r="K69" s="378">
        <v>0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2" spans="1:25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5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5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</row>
    <row r="77" spans="1:25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4:18">
      <c r="N98" s="385"/>
      <c r="O98" s="385"/>
      <c r="P98" s="385"/>
      <c r="Q98" s="385"/>
      <c r="R98" s="385"/>
    </row>
    <row r="99" spans="14:18">
      <c r="N99" s="386"/>
      <c r="O99" s="386"/>
      <c r="P99" s="386"/>
      <c r="Q99" s="386"/>
      <c r="R99" s="386"/>
    </row>
    <row r="100" spans="14:18">
      <c r="N100" s="386"/>
      <c r="O100" s="386"/>
      <c r="P100" s="386"/>
      <c r="Q100" s="386"/>
      <c r="R100" s="386"/>
    </row>
    <row r="101" spans="14:18" ht="36" thickBot="1">
      <c r="N101" s="387"/>
      <c r="O101" s="387"/>
      <c r="P101" s="387"/>
      <c r="Q101" s="388"/>
      <c r="R101" s="389"/>
    </row>
  </sheetData>
  <mergeCells count="6">
    <mergeCell ref="T40:W41"/>
    <mergeCell ref="P3:S3"/>
    <mergeCell ref="P17:S18"/>
    <mergeCell ref="P19:S19"/>
    <mergeCell ref="Q21:S21"/>
    <mergeCell ref="P22:S23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02"/>
  <sheetViews>
    <sheetView topLeftCell="A16" zoomScale="25" zoomScaleNormal="25" workbookViewId="0">
      <selection activeCell="H23" sqref="H23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45875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/>
      <c r="F3" s="24" t="s">
        <v>198</v>
      </c>
      <c r="G3" s="20"/>
      <c r="H3" s="22" t="s">
        <v>47</v>
      </c>
      <c r="I3" s="26"/>
      <c r="J3" s="24" t="s">
        <v>14</v>
      </c>
      <c r="K3" s="26"/>
      <c r="L3" s="24" t="s">
        <v>216</v>
      </c>
      <c r="N3" s="22" t="s">
        <v>16</v>
      </c>
      <c r="O3" s="20"/>
      <c r="P3" s="586" t="s">
        <v>17</v>
      </c>
      <c r="Q3" s="587"/>
      <c r="R3" s="587"/>
      <c r="S3" s="588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M4" s="26"/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/>
      <c r="G5" s="25"/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/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126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402" t="s">
        <v>222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59">
      <c r="A9" s="51"/>
      <c r="B9" s="59"/>
      <c r="C9" s="60">
        <v>3</v>
      </c>
      <c r="D9" s="61"/>
      <c r="E9" s="60">
        <v>3</v>
      </c>
      <c r="F9" s="32"/>
      <c r="G9" s="62">
        <v>2</v>
      </c>
      <c r="H9" s="63">
        <v>3</v>
      </c>
      <c r="I9" s="62">
        <f>H9-I11</f>
        <v>3</v>
      </c>
      <c r="J9" s="61"/>
      <c r="K9" s="60">
        <v>2</v>
      </c>
      <c r="L9" s="64">
        <v>4</v>
      </c>
      <c r="M9" s="62">
        <f>L9-M11</f>
        <v>3.75</v>
      </c>
      <c r="N9" s="56">
        <v>2</v>
      </c>
      <c r="O9" s="65">
        <f>N9-O11</f>
        <v>1.3</v>
      </c>
      <c r="P9" s="403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410"/>
      <c r="C11" s="411"/>
      <c r="D11" s="83"/>
      <c r="E11" s="412"/>
      <c r="F11" s="85"/>
      <c r="G11" s="413"/>
      <c r="H11" s="414" t="s">
        <v>53</v>
      </c>
      <c r="I11" s="415">
        <v>0</v>
      </c>
      <c r="J11" s="85"/>
      <c r="K11" s="416"/>
      <c r="L11" s="414" t="s">
        <v>53</v>
      </c>
      <c r="M11" s="417">
        <v>0.25</v>
      </c>
      <c r="N11" s="85" t="s">
        <v>54</v>
      </c>
      <c r="O11" s="411">
        <v>0.7</v>
      </c>
      <c r="P11" s="92" t="s">
        <v>223</v>
      </c>
      <c r="Q11" s="92" t="s">
        <v>55</v>
      </c>
      <c r="R11" s="92" t="s">
        <v>217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409" t="s">
        <v>58</v>
      </c>
      <c r="B12" s="397" t="s">
        <v>199</v>
      </c>
      <c r="C12" s="107" t="s">
        <v>224</v>
      </c>
      <c r="D12" s="99" t="s">
        <v>60</v>
      </c>
      <c r="E12" s="193" t="s">
        <v>59</v>
      </c>
      <c r="F12" s="407" t="s">
        <v>61</v>
      </c>
      <c r="G12" s="193" t="s">
        <v>59</v>
      </c>
      <c r="H12" s="99" t="s">
        <v>62</v>
      </c>
      <c r="I12" s="107" t="s">
        <v>59</v>
      </c>
      <c r="J12" s="99" t="s">
        <v>63</v>
      </c>
      <c r="K12" s="193" t="s">
        <v>201</v>
      </c>
      <c r="L12" s="99" t="s">
        <v>64</v>
      </c>
      <c r="M12" s="193" t="s">
        <v>59</v>
      </c>
      <c r="N12" s="407" t="s">
        <v>65</v>
      </c>
      <c r="O12" s="193" t="s">
        <v>225</v>
      </c>
      <c r="P12" s="92" t="s">
        <v>60</v>
      </c>
      <c r="Q12" s="92" t="s">
        <v>218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19"/>
      <c r="B13" s="391" t="s">
        <v>55</v>
      </c>
      <c r="C13" s="193" t="s">
        <v>70</v>
      </c>
      <c r="D13" s="395" t="s">
        <v>200</v>
      </c>
      <c r="E13" s="193" t="s">
        <v>203</v>
      </c>
      <c r="F13" s="391" t="s">
        <v>55</v>
      </c>
      <c r="G13" s="193" t="s">
        <v>72</v>
      </c>
      <c r="H13" s="391" t="s">
        <v>73</v>
      </c>
      <c r="I13" s="193" t="s">
        <v>191</v>
      </c>
      <c r="J13" s="391" t="s">
        <v>204</v>
      </c>
      <c r="K13" s="193" t="s">
        <v>74</v>
      </c>
      <c r="L13" s="391" t="s">
        <v>219</v>
      </c>
      <c r="M13" s="193" t="s">
        <v>59</v>
      </c>
      <c r="N13" s="391" t="s">
        <v>71</v>
      </c>
      <c r="O13" s="193" t="s">
        <v>194</v>
      </c>
      <c r="P13" s="92" t="s">
        <v>75</v>
      </c>
      <c r="Q13" s="92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19"/>
      <c r="B14" s="391" t="s">
        <v>204</v>
      </c>
      <c r="C14" s="20" t="s">
        <v>78</v>
      </c>
      <c r="D14" s="108"/>
      <c r="E14" s="20"/>
      <c r="F14" s="99"/>
      <c r="G14" s="197"/>
      <c r="H14" s="391"/>
      <c r="I14" s="20"/>
      <c r="J14" s="108"/>
      <c r="K14" s="193"/>
      <c r="L14" s="395" t="s">
        <v>200</v>
      </c>
      <c r="M14" s="193" t="s">
        <v>78</v>
      </c>
      <c r="N14" s="408"/>
      <c r="O14" s="107"/>
      <c r="P14" s="109" t="s">
        <v>206</v>
      </c>
      <c r="Q14" s="92" t="s">
        <v>219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82</v>
      </c>
      <c r="Q15" s="92" t="s">
        <v>226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227</v>
      </c>
      <c r="Q16" s="131" t="s">
        <v>71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125" t="s">
        <v>66</v>
      </c>
      <c r="E17" s="139" t="s">
        <v>85</v>
      </c>
      <c r="F17" s="125" t="s">
        <v>66</v>
      </c>
      <c r="G17" s="127" t="s">
        <v>221</v>
      </c>
      <c r="H17" s="125"/>
      <c r="I17" s="140"/>
      <c r="J17" s="46"/>
      <c r="L17" s="125" t="s">
        <v>73</v>
      </c>
      <c r="M17" s="140" t="s">
        <v>74</v>
      </c>
      <c r="N17" s="141" t="s">
        <v>54</v>
      </c>
      <c r="O17" s="142">
        <v>0.4</v>
      </c>
      <c r="P17" s="589" t="s">
        <v>195</v>
      </c>
      <c r="Q17" s="590"/>
      <c r="R17" s="591"/>
      <c r="S17" s="592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1.8240997229916895</v>
      </c>
      <c r="C18" s="149"/>
      <c r="D18" s="150">
        <f>D52</f>
        <v>1.8240997229916895</v>
      </c>
      <c r="E18" s="149"/>
      <c r="F18" s="148">
        <f>F52</f>
        <v>1.2160664819944598</v>
      </c>
      <c r="G18" s="150"/>
      <c r="H18" s="148">
        <f>H52</f>
        <v>1.8240997229916895</v>
      </c>
      <c r="I18" s="150"/>
      <c r="J18" s="148">
        <f>J52</f>
        <v>1.2160664819944598</v>
      </c>
      <c r="K18" s="150"/>
      <c r="L18" s="151">
        <f>L52</f>
        <v>2.280124653739612</v>
      </c>
      <c r="M18" s="149"/>
      <c r="N18" s="152">
        <f>N52</f>
        <v>0.79044321329639888</v>
      </c>
      <c r="O18" s="149">
        <f>N18+O17</f>
        <v>1.1904432132963989</v>
      </c>
      <c r="P18" s="593"/>
      <c r="Q18" s="594"/>
      <c r="R18" s="594"/>
      <c r="S18" s="595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 t="s">
        <v>7</v>
      </c>
      <c r="C19" s="107" t="s">
        <v>291</v>
      </c>
      <c r="D19" s="56" t="s">
        <v>255</v>
      </c>
      <c r="E19" s="107" t="s">
        <v>292</v>
      </c>
      <c r="F19" s="56"/>
      <c r="G19" s="158"/>
      <c r="H19" s="56" t="s">
        <v>251</v>
      </c>
      <c r="I19" s="107" t="s">
        <v>293</v>
      </c>
      <c r="J19" s="159"/>
      <c r="K19" s="160"/>
      <c r="L19" s="56"/>
      <c r="M19" s="107"/>
      <c r="N19" s="56"/>
      <c r="O19" s="107"/>
      <c r="P19" s="596" t="s">
        <v>90</v>
      </c>
      <c r="Q19" s="597"/>
      <c r="R19" s="597"/>
      <c r="S19" s="598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 t="s">
        <v>253</v>
      </c>
      <c r="C20" s="107" t="s">
        <v>294</v>
      </c>
      <c r="D20" s="56"/>
      <c r="E20" s="107"/>
      <c r="F20" s="72"/>
      <c r="G20" s="160"/>
      <c r="H20" s="159" t="s">
        <v>7</v>
      </c>
      <c r="I20" s="107" t="s">
        <v>295</v>
      </c>
      <c r="J20" s="56"/>
      <c r="K20" s="107"/>
      <c r="L20" s="56"/>
      <c r="M20" s="107"/>
      <c r="N20" s="24"/>
      <c r="O20" s="107"/>
      <c r="P20" s="599"/>
      <c r="Q20" s="600"/>
      <c r="R20" s="600"/>
      <c r="S20" s="601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02" t="s">
        <v>93</v>
      </c>
      <c r="R22" s="602"/>
      <c r="S22" s="603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04"/>
      <c r="Q23" s="605"/>
      <c r="R23" s="605"/>
      <c r="S23" s="606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07"/>
      <c r="Q24" s="608"/>
      <c r="R24" s="608"/>
      <c r="S24" s="609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Q27" s="49"/>
      <c r="R27" s="189" t="s">
        <v>228</v>
      </c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13.426592797783925</v>
      </c>
      <c r="C31" s="218"/>
      <c r="D31" s="219">
        <f>D45</f>
        <v>12.426592797783925</v>
      </c>
      <c r="E31" s="220"/>
      <c r="F31" s="221">
        <f>F45</f>
        <v>-16.382271468144047</v>
      </c>
      <c r="G31" s="221"/>
      <c r="H31" s="217">
        <f>H45</f>
        <v>21.426592797783925</v>
      </c>
      <c r="I31" s="218"/>
      <c r="J31" s="217">
        <f>J45</f>
        <v>-12.382271468144047</v>
      </c>
      <c r="K31" s="222"/>
      <c r="L31" s="217">
        <f>L45</f>
        <v>-1.9667590027700896</v>
      </c>
      <c r="M31" s="222"/>
      <c r="N31" s="152">
        <f>N45</f>
        <v>-16.548476454293628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/>
      <c r="E32" s="229"/>
      <c r="F32" s="390"/>
      <c r="G32" s="393"/>
      <c r="H32" s="405"/>
      <c r="I32" s="406"/>
      <c r="J32" s="24" t="s">
        <v>100</v>
      </c>
      <c r="K32" s="229" t="s">
        <v>99</v>
      </c>
      <c r="L32" s="22"/>
      <c r="M32" s="107"/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520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80"/>
      <c r="U41" s="581"/>
      <c r="V41" s="581"/>
      <c r="W41" s="582"/>
      <c r="X41" s="302"/>
      <c r="Y41" s="303"/>
    </row>
    <row r="42" spans="1:34" ht="73" thickBot="1">
      <c r="A42" s="304" t="s">
        <v>136</v>
      </c>
      <c r="B42" s="305">
        <f>SUM(B44:R44)</f>
        <v>18.05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83"/>
      <c r="U42" s="584"/>
      <c r="V42" s="584"/>
      <c r="W42" s="585"/>
      <c r="X42" s="302"/>
      <c r="Y42" s="303"/>
    </row>
    <row r="43" spans="1:34" ht="72">
      <c r="A43" s="304" t="s">
        <v>137</v>
      </c>
      <c r="B43" s="294">
        <f>B41/B42</f>
        <v>28.808864265927976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3</v>
      </c>
      <c r="E44" s="297"/>
      <c r="F44" s="296">
        <f>G9</f>
        <v>2</v>
      </c>
      <c r="G44" s="297"/>
      <c r="H44" s="278">
        <f>I9</f>
        <v>3</v>
      </c>
      <c r="I44" s="299"/>
      <c r="J44" s="278">
        <f>K9</f>
        <v>2</v>
      </c>
      <c r="K44" s="299"/>
      <c r="L44" s="278">
        <f>M9</f>
        <v>3.75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13.426592797783925</v>
      </c>
      <c r="C45" s="295"/>
      <c r="D45" s="318">
        <f>B41/B42*D44-D46</f>
        <v>12.426592797783925</v>
      </c>
      <c r="E45" s="319"/>
      <c r="F45" s="318">
        <f>B41/B42*F44-F46</f>
        <v>-16.382271468144047</v>
      </c>
      <c r="G45" s="320"/>
      <c r="H45" s="321">
        <f>B41/B42*H44-H46</f>
        <v>21.426592797783925</v>
      </c>
      <c r="I45" s="322"/>
      <c r="J45" s="321">
        <f>B41/B42*J44-J46</f>
        <v>-12.382271468144047</v>
      </c>
      <c r="K45" s="322"/>
      <c r="L45" s="321">
        <f>B41/B42*L44-L46</f>
        <v>-1.9667590027700896</v>
      </c>
      <c r="M45" s="322"/>
      <c r="N45" s="311">
        <f>B41/B42*N44-N46</f>
        <v>-16.548476454293628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110</v>
      </c>
      <c r="M46" s="322"/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10.975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47.380410022779046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86.426592797783925</v>
      </c>
      <c r="C51" s="354"/>
      <c r="D51" s="354">
        <f>B43*D44</f>
        <v>86.426592797783925</v>
      </c>
      <c r="E51" s="354"/>
      <c r="F51" s="354">
        <f>B43*F44</f>
        <v>57.617728531855953</v>
      </c>
      <c r="G51" s="354"/>
      <c r="H51" s="359">
        <f>B43*H44</f>
        <v>86.426592797783925</v>
      </c>
      <c r="I51" s="354"/>
      <c r="J51" s="354">
        <f>B43*J44</f>
        <v>57.617728531855953</v>
      </c>
      <c r="K51" s="354"/>
      <c r="L51" s="359">
        <f>B43*L44</f>
        <v>108.03324099722991</v>
      </c>
      <c r="M51" s="354"/>
      <c r="N51" s="354">
        <f>B43*N44</f>
        <v>37.451523545706372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1.8240997229916895</v>
      </c>
      <c r="C52" s="354"/>
      <c r="D52" s="354">
        <f>D51/B50</f>
        <v>1.8240997229916895</v>
      </c>
      <c r="E52" s="354"/>
      <c r="F52" s="354">
        <f>F51/B50</f>
        <v>1.2160664819944598</v>
      </c>
      <c r="G52" s="354"/>
      <c r="H52" s="354">
        <f>H51/B50</f>
        <v>1.8240997229916895</v>
      </c>
      <c r="I52" s="354"/>
      <c r="J52" s="354">
        <f>J51/B50</f>
        <v>1.2160664819944598</v>
      </c>
      <c r="K52" s="354"/>
      <c r="L52" s="359">
        <f>L51/B50</f>
        <v>2.280124653739612</v>
      </c>
      <c r="M52" s="354"/>
      <c r="N52" s="354">
        <f>N51/B50</f>
        <v>0.79044321329639888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1.375</v>
      </c>
      <c r="H70" s="376">
        <v>0</v>
      </c>
      <c r="I70" s="377">
        <v>0</v>
      </c>
      <c r="J70" s="376">
        <f>SUM(C70:H70)</f>
        <v>3.0249999999999999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0.75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102"/>
  <sheetViews>
    <sheetView zoomScale="25" zoomScaleNormal="25" workbookViewId="0">
      <selection activeCell="R12" sqref="R12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45867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>
        <v>0.6</v>
      </c>
      <c r="F3" s="24" t="s">
        <v>198</v>
      </c>
      <c r="G3" s="20"/>
      <c r="H3" s="20" t="s">
        <v>47</v>
      </c>
      <c r="I3" s="26"/>
      <c r="J3" s="24" t="s">
        <v>14</v>
      </c>
      <c r="K3" s="26"/>
      <c r="L3" s="24" t="s">
        <v>15</v>
      </c>
      <c r="N3" s="22" t="s">
        <v>16</v>
      </c>
      <c r="O3" s="20"/>
      <c r="P3" s="586" t="s">
        <v>17</v>
      </c>
      <c r="Q3" s="587"/>
      <c r="R3" s="587"/>
      <c r="S3" s="588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 t="s">
        <v>13</v>
      </c>
      <c r="G5" s="25" t="s">
        <v>192</v>
      </c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>
        <v>0.3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2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390" t="s">
        <v>209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62">
      <c r="A9" s="51"/>
      <c r="B9" s="59"/>
      <c r="C9" s="60">
        <v>3</v>
      </c>
      <c r="D9" s="61"/>
      <c r="E9" s="60">
        <v>2.6</v>
      </c>
      <c r="F9" s="32"/>
      <c r="G9" s="62">
        <v>2.5</v>
      </c>
      <c r="H9" s="63">
        <v>3</v>
      </c>
      <c r="I9" s="62">
        <f>H9-I11</f>
        <v>2.6</v>
      </c>
      <c r="J9" s="61"/>
      <c r="K9" s="60">
        <v>2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390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81"/>
      <c r="C11" s="82"/>
      <c r="D11" s="83"/>
      <c r="E11" s="84"/>
      <c r="F11" s="85"/>
      <c r="G11" s="86"/>
      <c r="H11" s="87" t="s">
        <v>53</v>
      </c>
      <c r="I11" s="88">
        <v>0.4</v>
      </c>
      <c r="J11" s="85"/>
      <c r="K11" s="89"/>
      <c r="L11" s="87" t="s">
        <v>53</v>
      </c>
      <c r="M11" s="90">
        <v>0</v>
      </c>
      <c r="N11" s="91" t="s">
        <v>54</v>
      </c>
      <c r="O11" s="82">
        <v>0.7</v>
      </c>
      <c r="P11" s="92" t="s">
        <v>199</v>
      </c>
      <c r="Q11" s="92" t="s">
        <v>55</v>
      </c>
      <c r="R11" s="92" t="s">
        <v>210</v>
      </c>
      <c r="S11" s="399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96" t="s">
        <v>58</v>
      </c>
      <c r="B12" s="397" t="s">
        <v>199</v>
      </c>
      <c r="C12" s="98" t="s">
        <v>59</v>
      </c>
      <c r="D12" s="99" t="s">
        <v>60</v>
      </c>
      <c r="E12" s="98" t="s">
        <v>59</v>
      </c>
      <c r="F12" s="99" t="s">
        <v>61</v>
      </c>
      <c r="G12" s="100" t="s">
        <v>59</v>
      </c>
      <c r="H12" s="97" t="s">
        <v>62</v>
      </c>
      <c r="I12" s="98" t="s">
        <v>59</v>
      </c>
      <c r="J12" s="97" t="s">
        <v>63</v>
      </c>
      <c r="K12" s="100" t="s">
        <v>59</v>
      </c>
      <c r="L12" s="97" t="s">
        <v>64</v>
      </c>
      <c r="M12" s="100" t="s">
        <v>59</v>
      </c>
      <c r="N12" s="97" t="s">
        <v>65</v>
      </c>
      <c r="O12" s="100" t="s">
        <v>59</v>
      </c>
      <c r="P12" s="92" t="s">
        <v>60</v>
      </c>
      <c r="Q12" s="92" t="s">
        <v>211</v>
      </c>
      <c r="R12" s="396" t="s">
        <v>200</v>
      </c>
      <c r="S12" s="400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71</v>
      </c>
      <c r="C13" s="98" t="s">
        <v>39</v>
      </c>
      <c r="D13" s="395" t="s">
        <v>200</v>
      </c>
      <c r="E13" s="107" t="s">
        <v>70</v>
      </c>
      <c r="F13" s="391" t="s">
        <v>71</v>
      </c>
      <c r="G13" s="391" t="s">
        <v>36</v>
      </c>
      <c r="H13" s="391" t="s">
        <v>210</v>
      </c>
      <c r="I13" s="107" t="s">
        <v>191</v>
      </c>
      <c r="J13" s="391"/>
      <c r="K13" s="391"/>
      <c r="L13" s="391" t="s">
        <v>212</v>
      </c>
      <c r="M13" s="107" t="s">
        <v>213</v>
      </c>
      <c r="N13" s="395" t="s">
        <v>200</v>
      </c>
      <c r="O13" s="20" t="s">
        <v>72</v>
      </c>
      <c r="P13" s="109" t="s">
        <v>75</v>
      </c>
      <c r="Q13" s="391" t="s">
        <v>73</v>
      </c>
      <c r="R13" s="391"/>
      <c r="S13" s="400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1" t="s">
        <v>193</v>
      </c>
      <c r="C14" s="20" t="s">
        <v>36</v>
      </c>
      <c r="D14" s="391"/>
      <c r="E14" s="107"/>
      <c r="F14" s="391"/>
      <c r="G14" s="20"/>
      <c r="H14" s="394"/>
      <c r="I14" s="20"/>
      <c r="J14" s="391"/>
      <c r="K14" s="107"/>
      <c r="L14" s="391" t="s">
        <v>210</v>
      </c>
      <c r="M14" s="107" t="s">
        <v>78</v>
      </c>
      <c r="N14" s="106"/>
      <c r="O14" s="107"/>
      <c r="P14" s="109" t="s">
        <v>206</v>
      </c>
      <c r="Q14" s="92" t="s">
        <v>212</v>
      </c>
      <c r="R14" s="391"/>
      <c r="S14" s="401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63</v>
      </c>
      <c r="Q15" s="92" t="s">
        <v>71</v>
      </c>
      <c r="R15" s="391"/>
      <c r="S15" s="401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82</v>
      </c>
      <c r="Q16" s="131" t="s">
        <v>65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398" t="s">
        <v>55</v>
      </c>
      <c r="E17" s="139" t="s">
        <v>85</v>
      </c>
      <c r="F17" s="125" t="s">
        <v>66</v>
      </c>
      <c r="G17" s="127" t="s">
        <v>86</v>
      </c>
      <c r="H17" s="125" t="s">
        <v>73</v>
      </c>
      <c r="I17" s="140" t="s">
        <v>87</v>
      </c>
      <c r="J17" s="46"/>
      <c r="L17" s="125"/>
      <c r="M17" s="140"/>
      <c r="N17" s="141" t="s">
        <v>54</v>
      </c>
      <c r="O17" s="142">
        <v>0.4</v>
      </c>
      <c r="P17" s="589" t="s">
        <v>195</v>
      </c>
      <c r="Q17" s="590"/>
      <c r="R17" s="591"/>
      <c r="S17" s="592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2.054913294797688</v>
      </c>
      <c r="C18" s="149"/>
      <c r="D18" s="150">
        <f>D52</f>
        <v>1.7809248554913297</v>
      </c>
      <c r="E18" s="149"/>
      <c r="F18" s="148">
        <f>F52</f>
        <v>1.7124277456647397</v>
      </c>
      <c r="G18" s="150"/>
      <c r="H18" s="148">
        <f>H52</f>
        <v>1.7809248554913297</v>
      </c>
      <c r="I18" s="150"/>
      <c r="J18" s="148">
        <f>J52</f>
        <v>1.3699421965317919</v>
      </c>
      <c r="K18" s="150"/>
      <c r="L18" s="151">
        <f>L52</f>
        <v>2.2604046242774567</v>
      </c>
      <c r="M18" s="149"/>
      <c r="N18" s="152">
        <f>N52</f>
        <v>0.89046242774566486</v>
      </c>
      <c r="O18" s="149">
        <f>N18+O17</f>
        <v>1.2904624277456649</v>
      </c>
      <c r="P18" s="593"/>
      <c r="Q18" s="594"/>
      <c r="R18" s="594"/>
      <c r="S18" s="595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159"/>
      <c r="I19" s="107"/>
      <c r="J19" s="159"/>
      <c r="K19" s="160"/>
      <c r="L19" s="56"/>
      <c r="M19" s="107"/>
      <c r="N19" s="56"/>
      <c r="O19" s="107"/>
      <c r="P19" s="596" t="s">
        <v>90</v>
      </c>
      <c r="Q19" s="597"/>
      <c r="R19" s="597"/>
      <c r="S19" s="598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599"/>
      <c r="Q20" s="600"/>
      <c r="R20" s="600"/>
      <c r="S20" s="601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02" t="s">
        <v>93</v>
      </c>
      <c r="R22" s="602"/>
      <c r="S22" s="603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04"/>
      <c r="Q23" s="605"/>
      <c r="R23" s="605"/>
      <c r="S23" s="606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07"/>
      <c r="Q24" s="608"/>
      <c r="R24" s="608"/>
      <c r="S24" s="609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P27" s="49"/>
      <c r="Q27" s="49"/>
      <c r="R27" s="49"/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15.786127167630056</v>
      </c>
      <c r="C31" s="218"/>
      <c r="D31" s="219">
        <f>D45</f>
        <v>2.947976878612721</v>
      </c>
      <c r="E31" s="220"/>
      <c r="F31" s="221">
        <f>F45</f>
        <v>-1.156069364162704E-2</v>
      </c>
      <c r="G31" s="221"/>
      <c r="H31" s="217">
        <f>H45</f>
        <v>11.947976878612721</v>
      </c>
      <c r="I31" s="218"/>
      <c r="J31" s="217">
        <f>J45</f>
        <v>-10.809248554913296</v>
      </c>
      <c r="K31" s="222"/>
      <c r="L31" s="217">
        <f>L45</f>
        <v>-4.3352601156069426</v>
      </c>
      <c r="M31" s="222"/>
      <c r="N31" s="152">
        <f>N45</f>
        <v>-15.52601156069364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12</v>
      </c>
      <c r="E32" s="229" t="s">
        <v>214</v>
      </c>
      <c r="F32" s="390"/>
      <c r="G32" s="393"/>
      <c r="H32" s="24"/>
      <c r="I32" s="230"/>
      <c r="J32" s="24" t="s">
        <v>100</v>
      </c>
      <c r="K32" s="229" t="s">
        <v>99</v>
      </c>
      <c r="L32" s="390" t="s">
        <v>27</v>
      </c>
      <c r="M32" s="393" t="s">
        <v>215</v>
      </c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512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80"/>
      <c r="U41" s="581"/>
      <c r="V41" s="581"/>
      <c r="W41" s="582"/>
      <c r="X41" s="302"/>
      <c r="Y41" s="303"/>
    </row>
    <row r="42" spans="1:34" ht="73" thickBot="1">
      <c r="A42" s="304" t="s">
        <v>136</v>
      </c>
      <c r="B42" s="305">
        <f>SUM(B44:R44)</f>
        <v>17.3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83"/>
      <c r="U42" s="584"/>
      <c r="V42" s="584"/>
      <c r="W42" s="585"/>
      <c r="X42" s="302"/>
      <c r="Y42" s="303"/>
    </row>
    <row r="43" spans="1:34" ht="72">
      <c r="A43" s="304" t="s">
        <v>137</v>
      </c>
      <c r="B43" s="294">
        <f>B41/B42</f>
        <v>29.595375722543352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2.6</v>
      </c>
      <c r="E44" s="297"/>
      <c r="F44" s="296">
        <f>G9</f>
        <v>2.5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3.3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15.786127167630056</v>
      </c>
      <c r="C45" s="295"/>
      <c r="D45" s="318">
        <f>B41/B42*D44-D46</f>
        <v>2.947976878612721</v>
      </c>
      <c r="E45" s="319"/>
      <c r="F45" s="318">
        <f>B41/B42*F44-F46</f>
        <v>-1.156069364162704E-2</v>
      </c>
      <c r="G45" s="320"/>
      <c r="H45" s="321">
        <f>B41/B42*H44-H46</f>
        <v>11.947976878612721</v>
      </c>
      <c r="I45" s="322"/>
      <c r="J45" s="321">
        <f>B41/B42*J44-J46</f>
        <v>-10.809248554913296</v>
      </c>
      <c r="K45" s="322"/>
      <c r="L45" s="321">
        <f>B41/B42*L44-L46</f>
        <v>-4.3352601156069426</v>
      </c>
      <c r="M45" s="322"/>
      <c r="N45" s="311">
        <f>B41/B42*N44-N46</f>
        <v>-15.52601156069364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102</v>
      </c>
      <c r="M46" s="322" t="s">
        <v>141</v>
      </c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11.85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43.206751054852319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88.786127167630056</v>
      </c>
      <c r="C51" s="354"/>
      <c r="D51" s="354">
        <f>B43*D44</f>
        <v>76.947976878612721</v>
      </c>
      <c r="E51" s="354"/>
      <c r="F51" s="354">
        <f>B43*F44</f>
        <v>73.988439306358373</v>
      </c>
      <c r="G51" s="354"/>
      <c r="H51" s="359">
        <f>B43*H44</f>
        <v>76.947976878612721</v>
      </c>
      <c r="I51" s="354"/>
      <c r="J51" s="354">
        <f>B43*J44</f>
        <v>59.190751445086704</v>
      </c>
      <c r="K51" s="354"/>
      <c r="L51" s="359">
        <f>B43*L44</f>
        <v>97.664739884393057</v>
      </c>
      <c r="M51" s="354"/>
      <c r="N51" s="354">
        <f>B43*N44</f>
        <v>38.47398843930636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2.054913294797688</v>
      </c>
      <c r="C52" s="354"/>
      <c r="D52" s="354">
        <f>D51/B50</f>
        <v>1.7809248554913297</v>
      </c>
      <c r="E52" s="354"/>
      <c r="F52" s="354">
        <f>F51/B50</f>
        <v>1.7124277456647397</v>
      </c>
      <c r="G52" s="354"/>
      <c r="H52" s="354">
        <f>H51/B50</f>
        <v>1.7809248554913297</v>
      </c>
      <c r="I52" s="354"/>
      <c r="J52" s="354">
        <f>J51/B50</f>
        <v>1.3699421965317919</v>
      </c>
      <c r="K52" s="354"/>
      <c r="L52" s="359">
        <f>L51/B50</f>
        <v>2.2604046242774567</v>
      </c>
      <c r="M52" s="354"/>
      <c r="N52" s="354">
        <f>N51/B50</f>
        <v>0.89046242774566486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0.5</v>
      </c>
      <c r="H70" s="376">
        <v>0</v>
      </c>
      <c r="I70" s="377">
        <v>0</v>
      </c>
      <c r="J70" s="376">
        <f>SUM(C70:H70)</f>
        <v>2.15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8" spans="14:18" ht="36" thickBot="1"/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102"/>
  <sheetViews>
    <sheetView zoomScale="25" zoomScaleNormal="25" workbookViewId="0">
      <selection activeCell="K14" sqref="K14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45867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>
        <v>0.6</v>
      </c>
      <c r="F3" s="24" t="s">
        <v>198</v>
      </c>
      <c r="G3" s="20"/>
      <c r="H3" s="20" t="s">
        <v>47</v>
      </c>
      <c r="I3" s="26"/>
      <c r="J3" s="24" t="s">
        <v>14</v>
      </c>
      <c r="K3" s="26"/>
      <c r="L3" s="24" t="s">
        <v>15</v>
      </c>
      <c r="N3" s="22" t="s">
        <v>16</v>
      </c>
      <c r="O3" s="20"/>
      <c r="P3" s="586" t="s">
        <v>17</v>
      </c>
      <c r="Q3" s="587"/>
      <c r="R3" s="587"/>
      <c r="S3" s="588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 t="s">
        <v>13</v>
      </c>
      <c r="G5" s="25" t="s">
        <v>192</v>
      </c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>
        <v>0.3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2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390" t="s">
        <v>209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62">
      <c r="A9" s="51"/>
      <c r="B9" s="59"/>
      <c r="C9" s="60">
        <v>3</v>
      </c>
      <c r="D9" s="61"/>
      <c r="E9" s="60">
        <v>2.6</v>
      </c>
      <c r="F9" s="32"/>
      <c r="G9" s="62">
        <v>2.5</v>
      </c>
      <c r="H9" s="63">
        <v>3</v>
      </c>
      <c r="I9" s="62">
        <f>H9-I11</f>
        <v>2.6</v>
      </c>
      <c r="J9" s="61"/>
      <c r="K9" s="60">
        <v>2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390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81"/>
      <c r="C11" s="82"/>
      <c r="D11" s="83"/>
      <c r="E11" s="84"/>
      <c r="F11" s="85"/>
      <c r="G11" s="86"/>
      <c r="H11" s="87" t="s">
        <v>53</v>
      </c>
      <c r="I11" s="88">
        <v>0.4</v>
      </c>
      <c r="J11" s="85"/>
      <c r="K11" s="89"/>
      <c r="L11" s="87" t="s">
        <v>53</v>
      </c>
      <c r="M11" s="90">
        <v>0</v>
      </c>
      <c r="N11" s="91" t="s">
        <v>54</v>
      </c>
      <c r="O11" s="82">
        <v>0.7</v>
      </c>
      <c r="P11" s="92" t="s">
        <v>199</v>
      </c>
      <c r="Q11" s="92" t="s">
        <v>55</v>
      </c>
      <c r="R11" s="391" t="s">
        <v>210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96" t="s">
        <v>58</v>
      </c>
      <c r="B12" s="397" t="s">
        <v>199</v>
      </c>
      <c r="C12" s="98" t="s">
        <v>59</v>
      </c>
      <c r="D12" s="99" t="s">
        <v>60</v>
      </c>
      <c r="E12" s="98" t="s">
        <v>59</v>
      </c>
      <c r="F12" s="99" t="s">
        <v>61</v>
      </c>
      <c r="G12" s="100" t="s">
        <v>59</v>
      </c>
      <c r="H12" s="97" t="s">
        <v>62</v>
      </c>
      <c r="I12" s="98" t="s">
        <v>59</v>
      </c>
      <c r="J12" s="97" t="s">
        <v>63</v>
      </c>
      <c r="K12" s="100" t="s">
        <v>59</v>
      </c>
      <c r="L12" s="97" t="s">
        <v>64</v>
      </c>
      <c r="M12" s="100" t="s">
        <v>59</v>
      </c>
      <c r="N12" s="97" t="s">
        <v>65</v>
      </c>
      <c r="O12" s="100" t="s">
        <v>59</v>
      </c>
      <c r="P12" s="92" t="s">
        <v>60</v>
      </c>
      <c r="Q12" s="92" t="s">
        <v>211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71</v>
      </c>
      <c r="C13" s="98" t="s">
        <v>39</v>
      </c>
      <c r="D13" s="395" t="s">
        <v>200</v>
      </c>
      <c r="E13" s="107" t="s">
        <v>39</v>
      </c>
      <c r="F13" s="391" t="s">
        <v>71</v>
      </c>
      <c r="G13" s="391" t="s">
        <v>36</v>
      </c>
      <c r="H13" s="391" t="s">
        <v>210</v>
      </c>
      <c r="I13" s="107" t="s">
        <v>191</v>
      </c>
      <c r="J13" s="391" t="s">
        <v>73</v>
      </c>
      <c r="K13" s="107" t="s">
        <v>78</v>
      </c>
      <c r="L13" s="391" t="s">
        <v>212</v>
      </c>
      <c r="M13" s="107" t="s">
        <v>213</v>
      </c>
      <c r="N13" s="395" t="s">
        <v>200</v>
      </c>
      <c r="O13" s="20" t="s">
        <v>72</v>
      </c>
      <c r="P13" s="109" t="s">
        <v>75</v>
      </c>
      <c r="Q13" s="391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1" t="s">
        <v>193</v>
      </c>
      <c r="C14" s="20" t="s">
        <v>36</v>
      </c>
      <c r="D14" s="391" t="s">
        <v>73</v>
      </c>
      <c r="E14" s="107" t="s">
        <v>72</v>
      </c>
      <c r="F14" s="391" t="s">
        <v>73</v>
      </c>
      <c r="G14" s="20" t="s">
        <v>74</v>
      </c>
      <c r="H14" s="394"/>
      <c r="I14" s="20"/>
      <c r="J14" s="391" t="s">
        <v>210</v>
      </c>
      <c r="K14" s="107" t="s">
        <v>74</v>
      </c>
      <c r="L14" s="395" t="s">
        <v>200</v>
      </c>
      <c r="M14" s="107" t="s">
        <v>78</v>
      </c>
      <c r="N14" s="106"/>
      <c r="O14" s="107"/>
      <c r="P14" s="109" t="s">
        <v>206</v>
      </c>
      <c r="Q14" s="92" t="s">
        <v>212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391"/>
      <c r="K15" s="107"/>
      <c r="L15" s="108"/>
      <c r="M15" s="20"/>
      <c r="N15" s="24"/>
      <c r="O15" s="107"/>
      <c r="P15" s="109" t="s">
        <v>63</v>
      </c>
      <c r="Q15" s="92" t="s">
        <v>71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82</v>
      </c>
      <c r="Q16" s="131" t="s">
        <v>65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398" t="s">
        <v>55</v>
      </c>
      <c r="E17" s="139" t="s">
        <v>85</v>
      </c>
      <c r="F17" s="125" t="s">
        <v>66</v>
      </c>
      <c r="G17" s="127" t="s">
        <v>86</v>
      </c>
      <c r="H17" s="125" t="s">
        <v>73</v>
      </c>
      <c r="I17" s="140" t="s">
        <v>87</v>
      </c>
      <c r="J17" s="46"/>
      <c r="L17" s="125"/>
      <c r="M17" s="140"/>
      <c r="N17" s="141" t="s">
        <v>54</v>
      </c>
      <c r="O17" s="142">
        <v>0.4</v>
      </c>
      <c r="P17" s="589" t="s">
        <v>195</v>
      </c>
      <c r="Q17" s="590"/>
      <c r="R17" s="591"/>
      <c r="S17" s="592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2.054913294797688</v>
      </c>
      <c r="C18" s="149"/>
      <c r="D18" s="150">
        <f>D52</f>
        <v>1.7809248554913297</v>
      </c>
      <c r="E18" s="149"/>
      <c r="F18" s="148">
        <f>F52</f>
        <v>1.7124277456647397</v>
      </c>
      <c r="G18" s="150"/>
      <c r="H18" s="148">
        <f>H52</f>
        <v>1.7809248554913297</v>
      </c>
      <c r="I18" s="150"/>
      <c r="J18" s="148">
        <f>J52</f>
        <v>1.3699421965317919</v>
      </c>
      <c r="K18" s="150"/>
      <c r="L18" s="151">
        <f>L52</f>
        <v>2.2604046242774567</v>
      </c>
      <c r="M18" s="149"/>
      <c r="N18" s="152">
        <f>N52</f>
        <v>0.89046242774566486</v>
      </c>
      <c r="O18" s="149">
        <f>N18+O17</f>
        <v>1.2904624277456649</v>
      </c>
      <c r="P18" s="593"/>
      <c r="Q18" s="594"/>
      <c r="R18" s="594"/>
      <c r="S18" s="595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159"/>
      <c r="I19" s="107"/>
      <c r="J19" s="159"/>
      <c r="K19" s="160"/>
      <c r="L19" s="56"/>
      <c r="M19" s="107"/>
      <c r="N19" s="56"/>
      <c r="O19" s="107"/>
      <c r="P19" s="596" t="s">
        <v>90</v>
      </c>
      <c r="Q19" s="597"/>
      <c r="R19" s="597"/>
      <c r="S19" s="598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599"/>
      <c r="Q20" s="600"/>
      <c r="R20" s="600"/>
      <c r="S20" s="601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02" t="s">
        <v>93</v>
      </c>
      <c r="R22" s="602"/>
      <c r="S22" s="603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04"/>
      <c r="Q23" s="605"/>
      <c r="R23" s="605"/>
      <c r="S23" s="606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07"/>
      <c r="Q24" s="608"/>
      <c r="R24" s="608"/>
      <c r="S24" s="609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P27" s="49"/>
      <c r="Q27" s="49"/>
      <c r="R27" s="49"/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15.786127167630056</v>
      </c>
      <c r="C31" s="218"/>
      <c r="D31" s="219">
        <f>D45</f>
        <v>2.947976878612721</v>
      </c>
      <c r="E31" s="220"/>
      <c r="F31" s="221">
        <f>F45</f>
        <v>-1.156069364162704E-2</v>
      </c>
      <c r="G31" s="221"/>
      <c r="H31" s="217">
        <f>H45</f>
        <v>11.947976878612721</v>
      </c>
      <c r="I31" s="218"/>
      <c r="J31" s="217">
        <f>J45</f>
        <v>-10.809248554913296</v>
      </c>
      <c r="K31" s="222"/>
      <c r="L31" s="217">
        <f>L45</f>
        <v>-4.3352601156069426</v>
      </c>
      <c r="M31" s="222"/>
      <c r="N31" s="152">
        <f>N45</f>
        <v>-15.52601156069364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12</v>
      </c>
      <c r="E32" s="229" t="s">
        <v>214</v>
      </c>
      <c r="F32" s="390"/>
      <c r="G32" s="393"/>
      <c r="H32" s="24"/>
      <c r="I32" s="230"/>
      <c r="J32" s="24" t="s">
        <v>100</v>
      </c>
      <c r="K32" s="229" t="s">
        <v>99</v>
      </c>
      <c r="L32" s="390" t="s">
        <v>27</v>
      </c>
      <c r="M32" s="393" t="s">
        <v>215</v>
      </c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512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80"/>
      <c r="U41" s="581"/>
      <c r="V41" s="581"/>
      <c r="W41" s="582"/>
      <c r="X41" s="302"/>
      <c r="Y41" s="303"/>
    </row>
    <row r="42" spans="1:34" ht="73" thickBot="1">
      <c r="A42" s="304" t="s">
        <v>136</v>
      </c>
      <c r="B42" s="305">
        <f>SUM(B44:R44)</f>
        <v>17.3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83"/>
      <c r="U42" s="584"/>
      <c r="V42" s="584"/>
      <c r="W42" s="585"/>
      <c r="X42" s="302"/>
      <c r="Y42" s="303"/>
    </row>
    <row r="43" spans="1:34" ht="72">
      <c r="A43" s="304" t="s">
        <v>137</v>
      </c>
      <c r="B43" s="294">
        <f>B41/B42</f>
        <v>29.595375722543352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2.6</v>
      </c>
      <c r="E44" s="297"/>
      <c r="F44" s="296">
        <f>G9</f>
        <v>2.5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3.3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15.786127167630056</v>
      </c>
      <c r="C45" s="295"/>
      <c r="D45" s="318">
        <f>B41/B42*D44-D46</f>
        <v>2.947976878612721</v>
      </c>
      <c r="E45" s="319"/>
      <c r="F45" s="318">
        <f>B41/B42*F44-F46</f>
        <v>-1.156069364162704E-2</v>
      </c>
      <c r="G45" s="320"/>
      <c r="H45" s="321">
        <f>B41/B42*H44-H46</f>
        <v>11.947976878612721</v>
      </c>
      <c r="I45" s="322"/>
      <c r="J45" s="321">
        <f>B41/B42*J44-J46</f>
        <v>-10.809248554913296</v>
      </c>
      <c r="K45" s="322"/>
      <c r="L45" s="321">
        <f>B41/B42*L44-L46</f>
        <v>-4.3352601156069426</v>
      </c>
      <c r="M45" s="322"/>
      <c r="N45" s="311">
        <f>B41/B42*N44-N46</f>
        <v>-15.52601156069364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102</v>
      </c>
      <c r="M46" s="322" t="s">
        <v>141</v>
      </c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11.85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43.206751054852319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88.786127167630056</v>
      </c>
      <c r="C51" s="354"/>
      <c r="D51" s="354">
        <f>B43*D44</f>
        <v>76.947976878612721</v>
      </c>
      <c r="E51" s="354"/>
      <c r="F51" s="354">
        <f>B43*F44</f>
        <v>73.988439306358373</v>
      </c>
      <c r="G51" s="354"/>
      <c r="H51" s="359">
        <f>B43*H44</f>
        <v>76.947976878612721</v>
      </c>
      <c r="I51" s="354"/>
      <c r="J51" s="354">
        <f>B43*J44</f>
        <v>59.190751445086704</v>
      </c>
      <c r="K51" s="354"/>
      <c r="L51" s="359">
        <f>B43*L44</f>
        <v>97.664739884393057</v>
      </c>
      <c r="M51" s="354"/>
      <c r="N51" s="354">
        <f>B43*N44</f>
        <v>38.47398843930636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2.054913294797688</v>
      </c>
      <c r="C52" s="354"/>
      <c r="D52" s="354">
        <f>D51/B50</f>
        <v>1.7809248554913297</v>
      </c>
      <c r="E52" s="354"/>
      <c r="F52" s="354">
        <f>F51/B50</f>
        <v>1.7124277456647397</v>
      </c>
      <c r="G52" s="354"/>
      <c r="H52" s="354">
        <f>H51/B50</f>
        <v>1.7809248554913297</v>
      </c>
      <c r="I52" s="354"/>
      <c r="J52" s="354">
        <f>J51/B50</f>
        <v>1.3699421965317919</v>
      </c>
      <c r="K52" s="354"/>
      <c r="L52" s="359">
        <f>L51/B50</f>
        <v>2.2604046242774567</v>
      </c>
      <c r="M52" s="354"/>
      <c r="N52" s="354">
        <f>N51/B50</f>
        <v>0.89046242774566486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0.5</v>
      </c>
      <c r="H70" s="376">
        <v>0</v>
      </c>
      <c r="I70" s="377">
        <v>0</v>
      </c>
      <c r="J70" s="376">
        <f>SUM(C70:H70)</f>
        <v>2.15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8" spans="14:18" ht="36" thickBot="1"/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102"/>
  <sheetViews>
    <sheetView zoomScale="25" zoomScaleNormal="25" workbookViewId="0">
      <selection activeCell="K15" sqref="K15"/>
    </sheetView>
  </sheetViews>
  <sheetFormatPr baseColWidth="10" defaultColWidth="9" defaultRowHeight="35"/>
  <cols>
    <col min="1" max="1" width="33.5" style="8" customWidth="1"/>
    <col min="2" max="2" width="45.6640625" style="8" customWidth="1"/>
    <col min="3" max="3" width="49" style="8" customWidth="1"/>
    <col min="4" max="4" width="48.1640625" style="8" customWidth="1"/>
    <col min="5" max="5" width="52.6640625" style="8" customWidth="1"/>
    <col min="6" max="6" width="38.5" style="8" customWidth="1"/>
    <col min="7" max="7" width="53.1640625" style="8" customWidth="1"/>
    <col min="8" max="8" width="42.6640625" style="8" customWidth="1"/>
    <col min="9" max="9" width="47.1640625" style="8" customWidth="1"/>
    <col min="10" max="10" width="43.6640625" style="8" customWidth="1"/>
    <col min="11" max="11" width="44" style="8" customWidth="1"/>
    <col min="12" max="12" width="50.5" style="8" customWidth="1"/>
    <col min="13" max="13" width="45.1640625" style="8" customWidth="1"/>
    <col min="14" max="14" width="36.83203125" style="8" customWidth="1"/>
    <col min="15" max="15" width="51.1640625" style="8" customWidth="1"/>
    <col min="16" max="16" width="68.33203125" style="8" customWidth="1"/>
    <col min="17" max="17" width="39.6640625" style="8" customWidth="1"/>
    <col min="18" max="18" width="60.1640625" style="8" customWidth="1"/>
    <col min="19" max="19" width="45.5" style="8" customWidth="1"/>
    <col min="20" max="20" width="30.1640625" style="8" customWidth="1"/>
    <col min="21" max="21" width="25.33203125" style="8" customWidth="1"/>
    <col min="22" max="22" width="19.5" style="8" customWidth="1"/>
    <col min="23" max="23" width="19.33203125" style="8" customWidth="1"/>
    <col min="24" max="24" width="14.83203125" style="8" customWidth="1"/>
    <col min="25" max="25" width="26.6640625" style="8" customWidth="1"/>
    <col min="26" max="26" width="8.33203125" style="8" customWidth="1"/>
    <col min="27" max="27" width="15.1640625" style="9" customWidth="1"/>
    <col min="28" max="28" width="39.83203125" style="9" customWidth="1"/>
    <col min="29" max="30" width="9" style="9"/>
    <col min="31" max="31" width="4.83203125" style="9" customWidth="1"/>
    <col min="32" max="16384" width="9" style="8"/>
  </cols>
  <sheetData>
    <row r="1" spans="1:31" ht="46">
      <c r="A1" s="1"/>
      <c r="B1" s="1"/>
      <c r="C1" s="1"/>
      <c r="D1" s="2">
        <v>45867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4"/>
      <c r="R1" s="4"/>
      <c r="S1" s="4"/>
      <c r="T1" s="5"/>
      <c r="U1" s="4"/>
      <c r="V1" s="1"/>
      <c r="W1" s="1"/>
      <c r="X1" s="6"/>
      <c r="Y1" s="7"/>
    </row>
    <row r="2" spans="1:31" ht="97.5" customHeight="1">
      <c r="A2" s="10" t="s">
        <v>0</v>
      </c>
      <c r="B2" s="11" t="s">
        <v>1</v>
      </c>
      <c r="C2" s="10"/>
      <c r="D2" s="11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10"/>
      <c r="L2" s="14" t="s">
        <v>6</v>
      </c>
      <c r="M2" s="12"/>
      <c r="N2" s="15" t="s">
        <v>7</v>
      </c>
      <c r="O2" s="16"/>
      <c r="P2" s="17"/>
      <c r="Q2" s="12"/>
      <c r="R2" s="12"/>
      <c r="S2" s="12"/>
      <c r="T2" s="12" t="s">
        <v>8</v>
      </c>
      <c r="U2" s="12"/>
      <c r="V2" s="14" t="s">
        <v>9</v>
      </c>
      <c r="W2" s="18" t="s">
        <v>10</v>
      </c>
      <c r="Y2" s="9"/>
      <c r="Z2" s="9"/>
      <c r="AD2" s="8"/>
      <c r="AE2" s="8"/>
    </row>
    <row r="3" spans="1:31" ht="102.75" customHeight="1">
      <c r="A3" s="19" t="s">
        <v>11</v>
      </c>
      <c r="B3" s="24" t="s">
        <v>196</v>
      </c>
      <c r="C3" s="21"/>
      <c r="D3" s="22" t="s">
        <v>12</v>
      </c>
      <c r="E3" s="23">
        <v>0.6</v>
      </c>
      <c r="F3" s="24" t="s">
        <v>198</v>
      </c>
      <c r="G3" s="20"/>
      <c r="H3" s="20" t="s">
        <v>47</v>
      </c>
      <c r="I3" s="26"/>
      <c r="J3" s="24" t="s">
        <v>14</v>
      </c>
      <c r="K3" s="26"/>
      <c r="L3" s="24" t="s">
        <v>15</v>
      </c>
      <c r="N3" s="22" t="s">
        <v>16</v>
      </c>
      <c r="O3" s="20"/>
      <c r="P3" s="586" t="s">
        <v>17</v>
      </c>
      <c r="Q3" s="587"/>
      <c r="R3" s="587"/>
      <c r="S3" s="588"/>
      <c r="T3" s="27" t="s">
        <v>18</v>
      </c>
      <c r="U3" s="28" t="s">
        <v>19</v>
      </c>
      <c r="V3" s="29" t="s">
        <v>20</v>
      </c>
      <c r="W3" s="30" t="s">
        <v>21</v>
      </c>
      <c r="Y3" s="9"/>
      <c r="Z3" s="9"/>
      <c r="AD3" s="8"/>
      <c r="AE3" s="8"/>
    </row>
    <row r="4" spans="1:31" ht="121.5" customHeight="1">
      <c r="A4" s="31"/>
      <c r="B4" s="24" t="s">
        <v>33</v>
      </c>
      <c r="C4" s="21"/>
      <c r="D4" s="24" t="s">
        <v>23</v>
      </c>
      <c r="E4" s="26"/>
      <c r="F4" s="24" t="s">
        <v>24</v>
      </c>
      <c r="G4" s="21"/>
      <c r="H4" s="24" t="s">
        <v>25</v>
      </c>
      <c r="I4" s="26"/>
      <c r="J4" s="24" t="s">
        <v>26</v>
      </c>
      <c r="K4" s="32"/>
      <c r="L4" s="24" t="s">
        <v>101</v>
      </c>
      <c r="N4" s="24" t="s">
        <v>28</v>
      </c>
      <c r="O4" s="20"/>
      <c r="P4" s="33" t="s">
        <v>29</v>
      </c>
      <c r="Q4" s="34"/>
      <c r="R4" s="34" t="s">
        <v>30</v>
      </c>
      <c r="S4" s="35"/>
      <c r="T4" s="36" t="s">
        <v>31</v>
      </c>
      <c r="U4" s="37" t="s">
        <v>32</v>
      </c>
      <c r="V4" s="38"/>
      <c r="W4" s="38"/>
      <c r="Y4" s="39"/>
      <c r="Z4" s="9"/>
      <c r="AD4" s="8"/>
      <c r="AE4" s="8"/>
    </row>
    <row r="5" spans="1:31" ht="90.75" customHeight="1">
      <c r="A5" s="40"/>
      <c r="B5" s="24" t="s">
        <v>22</v>
      </c>
      <c r="C5" s="21"/>
      <c r="D5" s="24" t="s">
        <v>34</v>
      </c>
      <c r="E5" s="26"/>
      <c r="F5" s="24" t="s">
        <v>13</v>
      </c>
      <c r="G5" s="25" t="s">
        <v>192</v>
      </c>
      <c r="H5" s="24" t="s">
        <v>37</v>
      </c>
      <c r="I5" s="25"/>
      <c r="J5" s="24"/>
      <c r="K5" s="26"/>
      <c r="L5" s="24" t="s">
        <v>38</v>
      </c>
      <c r="M5" s="26"/>
      <c r="N5" s="24"/>
      <c r="O5" s="21"/>
      <c r="P5" s="41" t="s">
        <v>40</v>
      </c>
      <c r="Q5" s="42"/>
      <c r="R5" s="43" t="s">
        <v>41</v>
      </c>
      <c r="S5" s="44"/>
      <c r="T5" s="36" t="s">
        <v>42</v>
      </c>
      <c r="U5" s="45" t="s">
        <v>43</v>
      </c>
      <c r="V5" s="45"/>
      <c r="W5" s="38"/>
      <c r="Y5" s="9"/>
      <c r="Z5" s="9"/>
      <c r="AD5" s="8"/>
      <c r="AE5" s="8"/>
    </row>
    <row r="6" spans="1:31" ht="105.75" customHeight="1">
      <c r="A6" s="40"/>
      <c r="B6" s="46"/>
      <c r="D6" s="24"/>
      <c r="E6" s="26"/>
      <c r="F6" s="24"/>
      <c r="G6" s="20"/>
      <c r="H6" s="46"/>
      <c r="J6" s="24"/>
      <c r="K6" s="26"/>
      <c r="L6" s="24" t="s">
        <v>27</v>
      </c>
      <c r="M6" s="26">
        <v>0.3</v>
      </c>
      <c r="N6" s="24"/>
      <c r="O6" s="26"/>
      <c r="P6" s="47"/>
      <c r="Q6" s="48"/>
      <c r="R6" s="49"/>
      <c r="S6" s="50"/>
      <c r="T6" s="36"/>
      <c r="U6" s="45"/>
      <c r="V6" s="45"/>
      <c r="W6" s="38"/>
      <c r="Y6" s="9"/>
      <c r="Z6" s="9"/>
      <c r="AD6" s="8"/>
      <c r="AE6" s="8"/>
    </row>
    <row r="7" spans="1:31" ht="66.75" customHeight="1">
      <c r="A7" s="51"/>
      <c r="B7" s="24"/>
      <c r="C7" s="52"/>
      <c r="D7" s="24"/>
      <c r="E7" s="26"/>
      <c r="F7" s="24"/>
      <c r="G7" s="25"/>
      <c r="H7" s="46"/>
      <c r="J7" s="24"/>
      <c r="K7" s="53"/>
      <c r="N7" s="54"/>
      <c r="O7" s="25"/>
      <c r="P7" s="20"/>
      <c r="Q7" s="55"/>
      <c r="R7" s="55"/>
      <c r="S7" s="55"/>
      <c r="T7" s="36" t="s">
        <v>44</v>
      </c>
      <c r="U7" s="45" t="s">
        <v>33</v>
      </c>
      <c r="V7" s="45"/>
      <c r="W7" s="38"/>
      <c r="Y7" s="9"/>
      <c r="Z7" s="9"/>
      <c r="AD7" s="8"/>
      <c r="AE7" s="8"/>
    </row>
    <row r="8" spans="1:31" ht="62">
      <c r="A8" s="51"/>
      <c r="B8" s="56"/>
      <c r="C8" s="57"/>
      <c r="D8" s="56"/>
      <c r="E8" s="26"/>
      <c r="F8" s="24"/>
      <c r="G8" s="20"/>
      <c r="H8" s="24"/>
      <c r="I8" s="20"/>
      <c r="J8" s="56"/>
      <c r="K8" s="25" t="s">
        <v>45</v>
      </c>
      <c r="L8" s="24"/>
      <c r="M8" s="26"/>
      <c r="N8" s="56"/>
      <c r="O8" s="57"/>
      <c r="P8" s="390" t="s">
        <v>209</v>
      </c>
      <c r="Q8" s="55"/>
      <c r="R8" s="55" t="s">
        <v>46</v>
      </c>
      <c r="S8" s="55"/>
      <c r="T8" s="58" t="s">
        <v>47</v>
      </c>
      <c r="U8" s="45" t="s">
        <v>48</v>
      </c>
      <c r="V8" s="38"/>
      <c r="W8" s="38"/>
      <c r="Y8" s="9"/>
      <c r="Z8" s="9"/>
      <c r="AD8" s="8"/>
      <c r="AE8" s="8"/>
    </row>
    <row r="9" spans="1:31" ht="62">
      <c r="A9" s="51"/>
      <c r="B9" s="59"/>
      <c r="C9" s="60">
        <v>3</v>
      </c>
      <c r="D9" s="61"/>
      <c r="E9" s="60">
        <v>2.6</v>
      </c>
      <c r="F9" s="32"/>
      <c r="G9" s="62">
        <v>2.5</v>
      </c>
      <c r="H9" s="63">
        <v>3</v>
      </c>
      <c r="I9" s="62">
        <f>H9-I11</f>
        <v>2.6</v>
      </c>
      <c r="J9" s="61"/>
      <c r="K9" s="60">
        <v>2</v>
      </c>
      <c r="L9" s="64">
        <v>3.3</v>
      </c>
      <c r="M9" s="62">
        <f>L9-M11</f>
        <v>3.3</v>
      </c>
      <c r="N9" s="56">
        <v>2</v>
      </c>
      <c r="O9" s="65">
        <f>N9-O11</f>
        <v>1.3</v>
      </c>
      <c r="P9" s="390"/>
      <c r="Q9" s="66"/>
      <c r="R9" s="67"/>
      <c r="S9" s="67"/>
      <c r="T9" s="68" t="s">
        <v>49</v>
      </c>
      <c r="U9" s="45" t="s">
        <v>50</v>
      </c>
      <c r="V9" s="38"/>
      <c r="W9" s="38"/>
      <c r="Y9" s="9"/>
      <c r="Z9" s="9"/>
      <c r="AD9" s="8"/>
      <c r="AE9" s="8"/>
    </row>
    <row r="10" spans="1:31" ht="59">
      <c r="A10" s="51"/>
      <c r="B10" s="69"/>
      <c r="C10" s="70"/>
      <c r="D10" s="71"/>
      <c r="E10" s="64"/>
      <c r="F10" s="72"/>
      <c r="G10" s="73"/>
      <c r="H10" s="74"/>
      <c r="I10" s="75"/>
      <c r="J10" s="76"/>
      <c r="K10" s="77"/>
      <c r="L10" s="24"/>
      <c r="M10" s="20"/>
      <c r="N10" s="56"/>
      <c r="O10" s="25"/>
      <c r="P10" s="78"/>
      <c r="Q10" s="79"/>
      <c r="R10" s="79"/>
      <c r="S10" s="67"/>
      <c r="T10" s="58" t="s">
        <v>51</v>
      </c>
      <c r="U10" s="45" t="s">
        <v>25</v>
      </c>
      <c r="V10" s="38"/>
      <c r="W10" s="38"/>
      <c r="Y10" s="9"/>
      <c r="Z10" s="9"/>
      <c r="AD10" s="8"/>
      <c r="AE10" s="8"/>
    </row>
    <row r="11" spans="1:31" ht="119.25" customHeight="1" thickBot="1">
      <c r="A11" s="80" t="s">
        <v>52</v>
      </c>
      <c r="B11" s="81"/>
      <c r="C11" s="82"/>
      <c r="D11" s="83"/>
      <c r="E11" s="84"/>
      <c r="F11" s="85"/>
      <c r="G11" s="86"/>
      <c r="H11" s="87" t="s">
        <v>53</v>
      </c>
      <c r="I11" s="88">
        <v>0.4</v>
      </c>
      <c r="J11" s="85"/>
      <c r="K11" s="89"/>
      <c r="L11" s="87" t="s">
        <v>53</v>
      </c>
      <c r="M11" s="90">
        <v>0</v>
      </c>
      <c r="N11" s="91" t="s">
        <v>54</v>
      </c>
      <c r="O11" s="82">
        <v>0.7</v>
      </c>
      <c r="P11" s="92" t="s">
        <v>199</v>
      </c>
      <c r="Q11" s="92" t="s">
        <v>55</v>
      </c>
      <c r="R11" s="391" t="s">
        <v>210</v>
      </c>
      <c r="S11" s="93"/>
      <c r="T11" s="68" t="s">
        <v>56</v>
      </c>
      <c r="U11" s="45" t="s">
        <v>57</v>
      </c>
      <c r="V11" s="94"/>
      <c r="W11" s="94"/>
      <c r="Y11" s="9"/>
      <c r="Z11" s="9"/>
      <c r="AA11" s="95"/>
      <c r="AD11" s="8"/>
      <c r="AE11" s="8"/>
    </row>
    <row r="12" spans="1:31" ht="182.25" customHeight="1" thickTop="1">
      <c r="A12" s="96" t="s">
        <v>58</v>
      </c>
      <c r="B12" s="397" t="s">
        <v>199</v>
      </c>
      <c r="C12" s="98" t="s">
        <v>59</v>
      </c>
      <c r="D12" s="99" t="s">
        <v>60</v>
      </c>
      <c r="E12" s="98" t="s">
        <v>59</v>
      </c>
      <c r="F12" s="99" t="s">
        <v>61</v>
      </c>
      <c r="G12" s="100" t="s">
        <v>59</v>
      </c>
      <c r="H12" s="97" t="s">
        <v>62</v>
      </c>
      <c r="I12" s="98" t="s">
        <v>59</v>
      </c>
      <c r="J12" s="97" t="s">
        <v>63</v>
      </c>
      <c r="K12" s="100" t="s">
        <v>59</v>
      </c>
      <c r="L12" s="97" t="s">
        <v>64</v>
      </c>
      <c r="M12" s="100" t="s">
        <v>59</v>
      </c>
      <c r="N12" s="97" t="s">
        <v>65</v>
      </c>
      <c r="O12" s="100" t="s">
        <v>59</v>
      </c>
      <c r="P12" s="92" t="s">
        <v>60</v>
      </c>
      <c r="Q12" s="92" t="s">
        <v>211</v>
      </c>
      <c r="R12" s="396" t="s">
        <v>200</v>
      </c>
      <c r="S12" s="101"/>
      <c r="T12" s="102" t="s">
        <v>68</v>
      </c>
      <c r="U12" s="103" t="s">
        <v>69</v>
      </c>
      <c r="V12" s="38"/>
      <c r="W12" s="38"/>
      <c r="Y12" s="104"/>
      <c r="Z12" s="104"/>
      <c r="AA12" s="105"/>
      <c r="AB12" s="104"/>
      <c r="AC12" s="104"/>
      <c r="AD12" s="8"/>
      <c r="AE12" s="8"/>
    </row>
    <row r="13" spans="1:31" ht="145.5" customHeight="1">
      <c r="A13" s="96"/>
      <c r="B13" s="391" t="s">
        <v>71</v>
      </c>
      <c r="C13" s="98" t="s">
        <v>213</v>
      </c>
      <c r="D13" s="395" t="s">
        <v>200</v>
      </c>
      <c r="E13" s="107" t="s">
        <v>261</v>
      </c>
      <c r="F13" s="391" t="s">
        <v>193</v>
      </c>
      <c r="G13" s="391" t="s">
        <v>36</v>
      </c>
      <c r="H13" s="391" t="s">
        <v>210</v>
      </c>
      <c r="I13" s="107" t="s">
        <v>296</v>
      </c>
      <c r="J13" s="391" t="s">
        <v>73</v>
      </c>
      <c r="K13" s="107" t="s">
        <v>78</v>
      </c>
      <c r="L13" s="391" t="s">
        <v>212</v>
      </c>
      <c r="M13" s="107" t="s">
        <v>213</v>
      </c>
      <c r="N13" s="395" t="s">
        <v>200</v>
      </c>
      <c r="O13" s="20" t="s">
        <v>72</v>
      </c>
      <c r="P13" s="109" t="s">
        <v>75</v>
      </c>
      <c r="Q13" s="391" t="s">
        <v>73</v>
      </c>
      <c r="R13" s="391"/>
      <c r="S13" s="101"/>
      <c r="T13" s="110" t="s">
        <v>76</v>
      </c>
      <c r="U13" s="111" t="s">
        <v>77</v>
      </c>
      <c r="V13" s="38"/>
      <c r="W13" s="38"/>
      <c r="Y13" s="46"/>
      <c r="Z13" s="112"/>
      <c r="AA13" s="113"/>
      <c r="AB13" s="114"/>
      <c r="AD13" s="8"/>
      <c r="AE13" s="8"/>
    </row>
    <row r="14" spans="1:31" ht="112.5" customHeight="1">
      <c r="A14" s="96"/>
      <c r="B14" s="391"/>
      <c r="C14" s="20"/>
      <c r="D14" s="391" t="s">
        <v>73</v>
      </c>
      <c r="E14" s="107" t="s">
        <v>72</v>
      </c>
      <c r="F14" s="391" t="s">
        <v>73</v>
      </c>
      <c r="G14" s="20" t="s">
        <v>74</v>
      </c>
      <c r="H14" s="394"/>
      <c r="I14" s="20"/>
      <c r="J14" s="395" t="s">
        <v>200</v>
      </c>
      <c r="K14" s="107" t="s">
        <v>74</v>
      </c>
      <c r="L14" s="391" t="s">
        <v>210</v>
      </c>
      <c r="M14" s="107" t="s">
        <v>78</v>
      </c>
      <c r="N14" s="106"/>
      <c r="O14" s="107"/>
      <c r="P14" s="109" t="s">
        <v>206</v>
      </c>
      <c r="Q14" s="92" t="s">
        <v>212</v>
      </c>
      <c r="R14" s="391"/>
      <c r="S14" s="115"/>
      <c r="T14" s="116" t="s">
        <v>79</v>
      </c>
      <c r="U14" s="117" t="s">
        <v>80</v>
      </c>
      <c r="V14" s="38"/>
      <c r="W14" s="38"/>
      <c r="Y14" s="118"/>
      <c r="Z14" s="119"/>
      <c r="AA14" s="120"/>
      <c r="AB14" s="121"/>
      <c r="AC14" s="9" t="s">
        <v>81</v>
      </c>
      <c r="AD14" s="8"/>
      <c r="AE14" s="8"/>
    </row>
    <row r="15" spans="1:31" ht="114" customHeight="1">
      <c r="A15" s="40"/>
      <c r="B15" s="99"/>
      <c r="C15" s="107"/>
      <c r="D15" s="99"/>
      <c r="E15" s="107"/>
      <c r="F15" s="99"/>
      <c r="G15" s="107"/>
      <c r="H15" s="106"/>
      <c r="I15" s="107"/>
      <c r="J15" s="108"/>
      <c r="K15" s="107"/>
      <c r="L15" s="108"/>
      <c r="M15" s="20"/>
      <c r="N15" s="24"/>
      <c r="O15" s="107"/>
      <c r="P15" s="109" t="s">
        <v>63</v>
      </c>
      <c r="Q15" s="92" t="s">
        <v>71</v>
      </c>
      <c r="R15" s="391"/>
      <c r="S15" s="115"/>
      <c r="T15" s="122" t="s">
        <v>83</v>
      </c>
      <c r="U15" s="123"/>
      <c r="V15" s="38"/>
      <c r="W15" s="38"/>
      <c r="AC15" s="9" t="s">
        <v>81</v>
      </c>
      <c r="AD15" s="8"/>
      <c r="AE15" s="8"/>
    </row>
    <row r="16" spans="1:31" s="130" customFormat="1" ht="108.75" customHeight="1" thickBot="1">
      <c r="A16" s="124"/>
      <c r="B16" s="99"/>
      <c r="C16" s="26"/>
      <c r="D16" s="125"/>
      <c r="E16" s="126"/>
      <c r="F16" s="125"/>
      <c r="G16" s="127"/>
      <c r="H16" s="128"/>
      <c r="I16" s="26"/>
      <c r="J16" s="125"/>
      <c r="K16" s="127"/>
      <c r="L16" s="129"/>
      <c r="N16" s="129"/>
      <c r="O16" s="52"/>
      <c r="P16" s="92" t="s">
        <v>82</v>
      </c>
      <c r="Q16" s="131" t="s">
        <v>65</v>
      </c>
      <c r="R16" s="391"/>
      <c r="S16" s="93"/>
      <c r="T16" s="132" t="s">
        <v>84</v>
      </c>
      <c r="U16" s="133"/>
      <c r="V16" s="134"/>
      <c r="W16" s="134"/>
      <c r="Y16" s="135"/>
      <c r="Z16" s="8"/>
      <c r="AA16" s="136"/>
      <c r="AB16" s="8"/>
      <c r="AC16" s="136" t="s">
        <v>81</v>
      </c>
    </row>
    <row r="17" spans="1:60" ht="105.75" customHeight="1">
      <c r="A17" s="40"/>
      <c r="B17" s="137"/>
      <c r="C17" s="138"/>
      <c r="D17" s="398" t="s">
        <v>55</v>
      </c>
      <c r="E17" s="139" t="s">
        <v>85</v>
      </c>
      <c r="F17" s="125" t="s">
        <v>66</v>
      </c>
      <c r="G17" s="127" t="s">
        <v>86</v>
      </c>
      <c r="H17" s="125" t="s">
        <v>73</v>
      </c>
      <c r="I17" s="140" t="s">
        <v>87</v>
      </c>
      <c r="J17" s="46"/>
      <c r="L17" s="125"/>
      <c r="M17" s="140"/>
      <c r="N17" s="141" t="s">
        <v>54</v>
      </c>
      <c r="O17" s="142">
        <v>0.4</v>
      </c>
      <c r="P17" s="589" t="s">
        <v>195</v>
      </c>
      <c r="Q17" s="590"/>
      <c r="R17" s="591"/>
      <c r="S17" s="592"/>
      <c r="T17" s="143" t="s">
        <v>88</v>
      </c>
      <c r="U17" s="123"/>
      <c r="V17" s="38"/>
      <c r="W17" s="38"/>
      <c r="Y17" s="144"/>
      <c r="Z17" s="145"/>
      <c r="AA17" s="136"/>
      <c r="AB17" s="146"/>
      <c r="AD17" s="8"/>
      <c r="AE17" s="8"/>
    </row>
    <row r="18" spans="1:60" ht="75.75" customHeight="1" thickBot="1">
      <c r="A18" s="147"/>
      <c r="B18" s="148">
        <f>B52</f>
        <v>2.054913294797688</v>
      </c>
      <c r="C18" s="149"/>
      <c r="D18" s="150">
        <f>D52</f>
        <v>1.7809248554913297</v>
      </c>
      <c r="E18" s="149"/>
      <c r="F18" s="148">
        <f>F52</f>
        <v>1.7124277456647397</v>
      </c>
      <c r="G18" s="150"/>
      <c r="H18" s="148">
        <f>H52</f>
        <v>1.7809248554913297</v>
      </c>
      <c r="I18" s="150"/>
      <c r="J18" s="148">
        <f>J52</f>
        <v>1.3699421965317919</v>
      </c>
      <c r="K18" s="150"/>
      <c r="L18" s="151">
        <f>L52</f>
        <v>2.2604046242774567</v>
      </c>
      <c r="M18" s="149"/>
      <c r="N18" s="152">
        <f>N52</f>
        <v>0.89046242774566486</v>
      </c>
      <c r="O18" s="149">
        <f>N18+O17</f>
        <v>1.2904624277456649</v>
      </c>
      <c r="P18" s="593"/>
      <c r="Q18" s="594"/>
      <c r="R18" s="594"/>
      <c r="S18" s="595"/>
      <c r="T18" s="153" t="s">
        <v>89</v>
      </c>
      <c r="U18" s="154"/>
      <c r="V18" s="94"/>
      <c r="W18" s="94"/>
      <c r="Y18" s="155"/>
      <c r="Z18" s="156"/>
      <c r="AA18" s="157"/>
      <c r="AB18" s="146"/>
      <c r="AD18" s="8"/>
      <c r="AE18" s="8"/>
    </row>
    <row r="19" spans="1:60" ht="318.75" customHeight="1" thickTop="1">
      <c r="A19" s="51"/>
      <c r="B19" s="56"/>
      <c r="C19" s="107"/>
      <c r="D19" s="56"/>
      <c r="E19" s="107"/>
      <c r="F19" s="56"/>
      <c r="G19" s="158"/>
      <c r="H19" s="159"/>
      <c r="I19" s="107"/>
      <c r="J19" s="159"/>
      <c r="K19" s="160"/>
      <c r="L19" s="56"/>
      <c r="M19" s="107"/>
      <c r="N19" s="56"/>
      <c r="O19" s="107"/>
      <c r="P19" s="596" t="s">
        <v>90</v>
      </c>
      <c r="Q19" s="597"/>
      <c r="R19" s="597"/>
      <c r="S19" s="598"/>
      <c r="T19" s="161"/>
      <c r="U19" s="117"/>
      <c r="V19" s="162"/>
      <c r="W19" s="38"/>
      <c r="Y19" s="155"/>
      <c r="Z19" s="156"/>
      <c r="AA19" s="157"/>
      <c r="AB19" s="146"/>
      <c r="AD19" s="8"/>
      <c r="AE19" s="8"/>
      <c r="BG19" s="8" t="s">
        <v>91</v>
      </c>
      <c r="BH19" s="8" t="s">
        <v>92</v>
      </c>
    </row>
    <row r="20" spans="1:60" ht="224.25" customHeight="1" thickBot="1">
      <c r="A20" s="51"/>
      <c r="B20" s="56"/>
      <c r="C20" s="107"/>
      <c r="D20" s="56"/>
      <c r="E20" s="107"/>
      <c r="F20" s="72"/>
      <c r="G20" s="160"/>
      <c r="H20" s="159"/>
      <c r="I20" s="107"/>
      <c r="J20" s="56"/>
      <c r="K20" s="107"/>
      <c r="L20" s="56"/>
      <c r="M20" s="107"/>
      <c r="N20" s="24"/>
      <c r="O20" s="107"/>
      <c r="P20" s="599"/>
      <c r="Q20" s="600"/>
      <c r="R20" s="600"/>
      <c r="S20" s="601"/>
      <c r="T20" s="161"/>
      <c r="U20" s="117"/>
      <c r="V20" s="162"/>
      <c r="W20" s="38"/>
      <c r="Y20" s="155"/>
      <c r="Z20" s="156"/>
      <c r="AA20" s="157"/>
      <c r="AB20" s="146"/>
      <c r="AD20" s="8"/>
      <c r="AE20" s="8"/>
    </row>
    <row r="21" spans="1:60" ht="224.25" customHeight="1" thickBot="1">
      <c r="A21" s="51"/>
      <c r="B21" s="24"/>
      <c r="C21" s="107"/>
      <c r="D21" s="56"/>
      <c r="E21" s="107"/>
      <c r="F21" s="72"/>
      <c r="G21" s="160"/>
      <c r="H21" s="159"/>
      <c r="I21" s="107"/>
      <c r="J21" s="56"/>
      <c r="K21" s="107"/>
      <c r="L21" s="56"/>
      <c r="M21" s="107"/>
      <c r="N21" s="24"/>
      <c r="O21" s="107"/>
      <c r="P21" s="163"/>
      <c r="Q21" s="164"/>
      <c r="R21" s="164"/>
      <c r="S21" s="165"/>
      <c r="T21" s="161"/>
      <c r="U21" s="117"/>
      <c r="V21" s="162"/>
      <c r="W21" s="38"/>
      <c r="Y21" s="155"/>
      <c r="Z21" s="156"/>
      <c r="AA21" s="157"/>
      <c r="AB21" s="146"/>
      <c r="AD21" s="8"/>
      <c r="AE21" s="8"/>
    </row>
    <row r="22" spans="1:60" ht="388.5" customHeight="1" thickBot="1">
      <c r="A22" s="51"/>
      <c r="B22" s="20"/>
      <c r="C22" s="107"/>
      <c r="D22" s="166"/>
      <c r="E22" s="107"/>
      <c r="F22" s="72"/>
      <c r="G22" s="167"/>
      <c r="H22" s="24"/>
      <c r="I22" s="20"/>
      <c r="J22" s="24"/>
      <c r="K22" s="20"/>
      <c r="L22" s="24"/>
      <c r="M22" s="107"/>
      <c r="N22" s="24"/>
      <c r="O22" s="20"/>
      <c r="P22" s="168"/>
      <c r="Q22" s="602" t="s">
        <v>93</v>
      </c>
      <c r="R22" s="602"/>
      <c r="S22" s="603"/>
      <c r="T22" s="161"/>
      <c r="U22" s="117"/>
      <c r="V22" s="162"/>
      <c r="W22" s="38"/>
      <c r="Y22" s="155"/>
      <c r="Z22" s="156"/>
      <c r="AA22" s="157"/>
      <c r="AB22" s="146"/>
      <c r="AD22" s="8"/>
      <c r="AE22" s="8"/>
    </row>
    <row r="23" spans="1:60" ht="59">
      <c r="A23" s="19"/>
      <c r="B23" s="72"/>
      <c r="C23" s="169"/>
      <c r="D23" s="46"/>
      <c r="F23" s="170"/>
      <c r="G23" s="171"/>
      <c r="H23" s="24"/>
      <c r="I23" s="172"/>
      <c r="J23" s="173"/>
      <c r="K23" s="172"/>
      <c r="L23" s="174"/>
      <c r="M23" s="175"/>
      <c r="N23" s="176"/>
      <c r="O23" s="177"/>
      <c r="P23" s="604"/>
      <c r="Q23" s="605"/>
      <c r="R23" s="605"/>
      <c r="S23" s="606"/>
      <c r="T23" s="110"/>
      <c r="U23" s="178"/>
      <c r="V23" s="179"/>
      <c r="W23" s="180"/>
      <c r="Y23" s="181" t="s">
        <v>94</v>
      </c>
      <c r="Z23" s="156" t="s">
        <v>95</v>
      </c>
      <c r="AA23" s="136"/>
      <c r="AD23" s="8"/>
      <c r="AE23" s="8"/>
    </row>
    <row r="24" spans="1:60" ht="172.5" customHeight="1" thickBot="1">
      <c r="A24" s="96"/>
      <c r="B24" s="56"/>
      <c r="C24" s="182"/>
      <c r="D24" s="46"/>
      <c r="F24" s="183"/>
      <c r="G24" s="182"/>
      <c r="H24" s="184"/>
      <c r="I24" s="158"/>
      <c r="J24" s="72"/>
      <c r="K24" s="185"/>
      <c r="L24" s="186"/>
      <c r="M24" s="187"/>
      <c r="N24" s="159"/>
      <c r="O24" s="177"/>
      <c r="P24" s="607"/>
      <c r="Q24" s="608"/>
      <c r="R24" s="608"/>
      <c r="S24" s="609"/>
      <c r="T24" s="110"/>
      <c r="U24" s="178"/>
      <c r="V24" s="179"/>
      <c r="W24" s="180"/>
      <c r="Y24" s="181"/>
      <c r="Z24" s="156"/>
      <c r="AA24" s="136"/>
      <c r="AD24" s="8"/>
      <c r="AE24" s="8"/>
    </row>
    <row r="25" spans="1:60" ht="190.5" customHeight="1">
      <c r="A25" s="96"/>
      <c r="B25" s="24"/>
      <c r="C25" s="158"/>
      <c r="D25" s="184"/>
      <c r="E25" s="172"/>
      <c r="F25" s="184"/>
      <c r="G25" s="158"/>
      <c r="H25" s="184"/>
      <c r="I25" s="158"/>
      <c r="J25" s="184"/>
      <c r="K25" s="20"/>
      <c r="L25" s="173"/>
      <c r="M25" s="172"/>
      <c r="N25" s="159"/>
      <c r="O25" s="177"/>
      <c r="P25" s="188"/>
      <c r="Q25" s="189"/>
      <c r="R25" s="190"/>
      <c r="S25" s="189"/>
      <c r="T25" s="110"/>
      <c r="U25" s="178"/>
      <c r="V25" s="179"/>
      <c r="W25" s="180"/>
      <c r="Y25" s="191" t="s">
        <v>96</v>
      </c>
      <c r="Z25" s="192"/>
      <c r="AA25" s="136"/>
      <c r="AD25" s="8"/>
      <c r="AE25" s="8"/>
    </row>
    <row r="26" spans="1:60" ht="124.5" customHeight="1">
      <c r="A26" s="96"/>
      <c r="B26" s="184"/>
      <c r="C26" s="158"/>
      <c r="D26" s="184"/>
      <c r="E26" s="172"/>
      <c r="F26" s="184"/>
      <c r="G26" s="158"/>
      <c r="H26" s="184"/>
      <c r="I26" s="158"/>
      <c r="J26" s="184"/>
      <c r="K26" s="172"/>
      <c r="L26" s="173"/>
      <c r="M26" s="172"/>
      <c r="N26" s="159"/>
      <c r="O26" s="193"/>
      <c r="P26" s="49"/>
      <c r="Q26" s="49"/>
      <c r="R26" s="194"/>
      <c r="S26" s="50"/>
      <c r="T26" s="110"/>
      <c r="U26" s="178"/>
      <c r="V26" s="179"/>
      <c r="W26" s="180"/>
      <c r="Y26" s="191"/>
      <c r="Z26" s="192"/>
      <c r="AA26" s="136"/>
      <c r="AD26" s="8"/>
      <c r="AE26" s="8"/>
    </row>
    <row r="27" spans="1:60" ht="144" customHeight="1">
      <c r="A27" s="96"/>
      <c r="B27" s="56"/>
      <c r="C27" s="182"/>
      <c r="D27" s="176"/>
      <c r="E27" s="195"/>
      <c r="F27" s="196"/>
      <c r="G27" s="107"/>
      <c r="H27" s="24"/>
      <c r="I27" s="20"/>
      <c r="J27" s="24"/>
      <c r="K27" s="20"/>
      <c r="L27" s="24"/>
      <c r="M27" s="20"/>
      <c r="N27" s="56"/>
      <c r="O27" s="197"/>
      <c r="P27" s="49"/>
      <c r="Q27" s="49"/>
      <c r="R27" s="49"/>
      <c r="S27" s="49"/>
      <c r="T27" s="198"/>
      <c r="U27" s="199"/>
      <c r="V27" s="200"/>
      <c r="W27" s="201"/>
      <c r="Y27" s="202" t="s">
        <v>97</v>
      </c>
      <c r="Z27" s="192"/>
      <c r="AA27" s="136"/>
      <c r="AD27" s="8"/>
      <c r="AE27" s="8"/>
    </row>
    <row r="28" spans="1:60" ht="48" customHeight="1">
      <c r="A28" s="96"/>
      <c r="B28" s="24"/>
      <c r="C28" s="20"/>
      <c r="D28" s="196"/>
      <c r="E28" s="20"/>
      <c r="F28" s="196"/>
      <c r="G28" s="203"/>
      <c r="H28" s="204"/>
      <c r="I28" s="20"/>
      <c r="J28" s="24"/>
      <c r="K28" s="107"/>
      <c r="L28" s="56"/>
      <c r="M28" s="107"/>
      <c r="N28" s="56"/>
      <c r="O28" s="197"/>
      <c r="P28" s="205"/>
      <c r="Q28" s="206"/>
      <c r="R28" s="205"/>
      <c r="S28" s="205"/>
      <c r="T28" s="198"/>
      <c r="U28" s="199"/>
      <c r="V28" s="200"/>
      <c r="W28" s="201"/>
      <c r="Y28" s="207"/>
      <c r="Z28" s="192"/>
      <c r="AA28" s="136"/>
      <c r="AB28" s="8"/>
      <c r="AD28" s="8"/>
      <c r="AE28" s="8"/>
    </row>
    <row r="29" spans="1:60" ht="33" customHeight="1">
      <c r="A29" s="96"/>
      <c r="B29" s="208"/>
      <c r="C29" s="209"/>
      <c r="D29" s="20"/>
      <c r="E29" s="20"/>
      <c r="F29" s="24"/>
      <c r="G29" s="182"/>
      <c r="H29" s="24"/>
      <c r="I29" s="20"/>
      <c r="J29" s="24"/>
      <c r="K29" s="20"/>
      <c r="L29" s="24"/>
      <c r="M29" s="20"/>
      <c r="N29" s="56"/>
      <c r="O29" s="197"/>
      <c r="P29" s="93"/>
      <c r="Q29" s="93"/>
      <c r="R29" s="93"/>
      <c r="S29" s="93"/>
      <c r="T29" s="210"/>
      <c r="U29" s="199"/>
      <c r="V29" s="200"/>
      <c r="W29" s="201"/>
      <c r="Y29" s="46"/>
      <c r="Z29" s="192"/>
      <c r="AA29" s="136"/>
      <c r="AD29" s="8"/>
      <c r="AE29" s="8"/>
    </row>
    <row r="30" spans="1:60" ht="144.75" customHeight="1">
      <c r="A30" s="96"/>
      <c r="B30" s="56"/>
      <c r="C30" s="209"/>
      <c r="D30" s="20"/>
      <c r="E30" s="20"/>
      <c r="F30" s="183"/>
      <c r="G30" s="182"/>
      <c r="H30" s="196"/>
      <c r="I30" s="20"/>
      <c r="J30" s="211"/>
      <c r="K30" s="175"/>
      <c r="L30" s="174"/>
      <c r="M30" s="175"/>
      <c r="N30" s="56"/>
      <c r="O30" s="212"/>
      <c r="P30" s="194"/>
      <c r="Q30" s="189"/>
      <c r="R30" s="49"/>
      <c r="S30" s="49"/>
      <c r="T30" s="213"/>
      <c r="U30" s="199"/>
      <c r="V30" s="214"/>
      <c r="W30" s="201"/>
      <c r="Y30" s="215"/>
      <c r="Z30" s="192"/>
      <c r="AA30" s="136"/>
      <c r="AD30" s="8"/>
      <c r="AE30" s="8"/>
    </row>
    <row r="31" spans="1:60" s="192" customFormat="1" ht="83.25" customHeight="1" thickBot="1">
      <c r="A31" s="216"/>
      <c r="B31" s="217">
        <f>B45</f>
        <v>15.786127167630056</v>
      </c>
      <c r="C31" s="218"/>
      <c r="D31" s="219">
        <f>D45</f>
        <v>2.947976878612721</v>
      </c>
      <c r="E31" s="220"/>
      <c r="F31" s="221">
        <f>F45</f>
        <v>-1.156069364162704E-2</v>
      </c>
      <c r="G31" s="221"/>
      <c r="H31" s="217">
        <f>H45</f>
        <v>11.947976878612721</v>
      </c>
      <c r="I31" s="218"/>
      <c r="J31" s="217">
        <f>J45</f>
        <v>-10.809248554913296</v>
      </c>
      <c r="K31" s="222"/>
      <c r="L31" s="217">
        <f>L45</f>
        <v>-4.3352601156069426</v>
      </c>
      <c r="M31" s="222"/>
      <c r="N31" s="152">
        <f>N45</f>
        <v>-15.52601156069364</v>
      </c>
      <c r="O31" s="218"/>
      <c r="P31" s="223"/>
      <c r="Q31" s="224"/>
      <c r="R31" s="224"/>
      <c r="S31" s="224"/>
      <c r="T31" s="225"/>
      <c r="U31" s="226"/>
      <c r="V31" s="227"/>
      <c r="W31" s="228"/>
      <c r="Y31" s="192" t="s">
        <v>98</v>
      </c>
    </row>
    <row r="32" spans="1:60" ht="273" customHeight="1" thickTop="1">
      <c r="A32" s="19"/>
      <c r="B32" s="24"/>
      <c r="C32" s="229"/>
      <c r="D32" s="390" t="s">
        <v>12</v>
      </c>
      <c r="E32" s="229" t="s">
        <v>214</v>
      </c>
      <c r="F32" s="390"/>
      <c r="G32" s="393"/>
      <c r="H32" s="24"/>
      <c r="I32" s="230"/>
      <c r="J32" s="24" t="s">
        <v>100</v>
      </c>
      <c r="K32" s="229" t="s">
        <v>99</v>
      </c>
      <c r="L32" s="390" t="s">
        <v>27</v>
      </c>
      <c r="M32" s="393" t="s">
        <v>215</v>
      </c>
      <c r="N32" s="24" t="s">
        <v>35</v>
      </c>
      <c r="O32" s="229" t="s">
        <v>99</v>
      </c>
      <c r="P32" s="231" t="s">
        <v>53</v>
      </c>
      <c r="Q32" s="232" t="s">
        <v>102</v>
      </c>
      <c r="R32" s="233"/>
      <c r="S32" s="234"/>
      <c r="T32" s="110"/>
      <c r="U32" s="28"/>
      <c r="V32" s="235"/>
      <c r="W32" s="236"/>
    </row>
    <row r="33" spans="1:34" ht="222" customHeight="1">
      <c r="A33" s="96"/>
      <c r="B33" s="46"/>
      <c r="D33" s="24"/>
      <c r="E33" s="229"/>
      <c r="F33" s="24"/>
      <c r="G33" s="229"/>
      <c r="H33" s="24"/>
      <c r="I33" s="230"/>
      <c r="J33" s="24"/>
      <c r="K33" s="229"/>
      <c r="L33" s="24"/>
      <c r="M33" s="107"/>
      <c r="N33" s="184"/>
      <c r="O33" s="229"/>
      <c r="P33" s="237" t="s">
        <v>103</v>
      </c>
      <c r="Q33" s="238"/>
      <c r="R33" s="239"/>
      <c r="S33" s="234"/>
      <c r="T33" s="68"/>
      <c r="U33" s="28"/>
      <c r="V33" s="201"/>
      <c r="W33" s="201"/>
      <c r="Y33" s="240" t="s">
        <v>104</v>
      </c>
      <c r="Z33" s="240"/>
      <c r="AA33" s="240" t="s">
        <v>105</v>
      </c>
      <c r="AB33" s="240" t="s">
        <v>106</v>
      </c>
      <c r="AC33" s="8" t="s">
        <v>107</v>
      </c>
      <c r="AD33" s="192"/>
      <c r="AE33" s="192"/>
      <c r="AF33" s="192"/>
      <c r="AG33" s="192"/>
      <c r="AH33" s="192"/>
    </row>
    <row r="34" spans="1:34" ht="168.75" customHeight="1">
      <c r="A34" s="19"/>
      <c r="B34" s="241"/>
      <c r="C34" s="107"/>
      <c r="D34" s="242"/>
      <c r="E34" s="243"/>
      <c r="F34" s="244"/>
      <c r="G34" s="241"/>
      <c r="H34" s="24"/>
      <c r="I34" s="230"/>
      <c r="J34" s="72"/>
      <c r="K34" s="20"/>
      <c r="L34" s="24"/>
      <c r="M34" s="229"/>
      <c r="N34" s="24"/>
      <c r="O34" s="107"/>
      <c r="P34" s="245" t="s">
        <v>108</v>
      </c>
      <c r="Q34" s="246" t="s">
        <v>197</v>
      </c>
      <c r="R34" s="232" t="s">
        <v>109</v>
      </c>
      <c r="S34" s="247" t="s">
        <v>110</v>
      </c>
      <c r="T34" s="68"/>
      <c r="U34" s="123"/>
      <c r="V34" s="201"/>
      <c r="W34" s="201"/>
      <c r="Y34" s="9" t="s">
        <v>111</v>
      </c>
      <c r="Z34" s="9"/>
      <c r="AA34" s="9" t="s">
        <v>105</v>
      </c>
      <c r="AB34" s="9" t="s">
        <v>112</v>
      </c>
      <c r="AC34" s="9" t="s">
        <v>113</v>
      </c>
      <c r="AD34" s="8"/>
      <c r="AE34" s="8"/>
    </row>
    <row r="35" spans="1:34" ht="94.5" customHeight="1">
      <c r="A35" s="19"/>
      <c r="B35" s="248"/>
      <c r="C35" s="20"/>
      <c r="D35" s="54"/>
      <c r="E35" s="249"/>
      <c r="F35" s="56"/>
      <c r="G35" s="20"/>
      <c r="H35" s="56"/>
      <c r="I35" s="57"/>
      <c r="J35" s="250"/>
      <c r="K35" s="241"/>
      <c r="L35" s="251"/>
      <c r="M35" s="241"/>
      <c r="N35" s="56"/>
      <c r="O35" s="57"/>
      <c r="P35" s="252" t="s">
        <v>114</v>
      </c>
      <c r="Q35" s="253" t="s">
        <v>115</v>
      </c>
      <c r="R35" s="233" t="s">
        <v>116</v>
      </c>
      <c r="S35" s="49"/>
      <c r="T35" s="68"/>
      <c r="U35" s="123"/>
      <c r="V35" s="201"/>
      <c r="W35" s="201" t="s">
        <v>117</v>
      </c>
      <c r="Y35" s="9" t="s">
        <v>2</v>
      </c>
      <c r="Z35" s="9"/>
      <c r="AA35" s="9" t="s">
        <v>105</v>
      </c>
      <c r="AB35" s="9" t="s">
        <v>118</v>
      </c>
      <c r="AC35" s="9" t="s">
        <v>113</v>
      </c>
      <c r="AD35" s="8"/>
      <c r="AE35" s="8"/>
    </row>
    <row r="36" spans="1:34" ht="34.5" customHeight="1">
      <c r="A36" s="254"/>
      <c r="B36" s="59"/>
      <c r="C36" s="255"/>
      <c r="D36" s="59"/>
      <c r="E36" s="20"/>
      <c r="F36" s="248"/>
      <c r="G36" s="20"/>
      <c r="H36" s="256"/>
      <c r="I36" s="255"/>
      <c r="J36" s="257"/>
      <c r="K36" s="258"/>
      <c r="L36" s="257"/>
      <c r="M36" s="258"/>
      <c r="N36" s="56"/>
      <c r="O36" s="57"/>
      <c r="P36" s="259"/>
      <c r="Q36" s="260"/>
      <c r="R36" s="260"/>
      <c r="S36" s="261"/>
      <c r="T36" s="68"/>
      <c r="U36" s="123"/>
      <c r="V36" s="200"/>
      <c r="W36" s="201"/>
      <c r="Y36" s="9" t="s">
        <v>119</v>
      </c>
      <c r="Z36" s="9"/>
      <c r="AA36" s="9" t="s">
        <v>120</v>
      </c>
      <c r="AB36" s="9" t="s">
        <v>121</v>
      </c>
      <c r="AC36" s="9" t="s">
        <v>122</v>
      </c>
      <c r="AD36" s="8" t="s">
        <v>107</v>
      </c>
      <c r="AE36" s="8"/>
    </row>
    <row r="37" spans="1:34" ht="34.5" customHeight="1" thickBot="1">
      <c r="A37" s="262"/>
      <c r="B37" s="263"/>
      <c r="C37" s="264"/>
      <c r="D37" s="263"/>
      <c r="E37" s="264"/>
      <c r="F37" s="265"/>
      <c r="G37" s="265"/>
      <c r="H37" s="263"/>
      <c r="I37" s="264"/>
      <c r="J37" s="263"/>
      <c r="K37" s="265"/>
      <c r="L37" s="263"/>
      <c r="M37" s="265"/>
      <c r="N37" s="266"/>
      <c r="O37" s="267"/>
      <c r="P37" s="268"/>
      <c r="Q37" s="269"/>
      <c r="R37" s="269"/>
      <c r="S37" s="270"/>
      <c r="T37" s="271"/>
      <c r="U37" s="272"/>
      <c r="V37" s="228"/>
      <c r="W37" s="228"/>
      <c r="Y37" s="9" t="s">
        <v>123</v>
      </c>
      <c r="Z37" s="9"/>
      <c r="AA37" s="9" t="s">
        <v>120</v>
      </c>
      <c r="AB37" s="9" t="s">
        <v>124</v>
      </c>
      <c r="AC37" s="9" t="s">
        <v>113</v>
      </c>
      <c r="AD37" s="8"/>
      <c r="AE37" s="8"/>
    </row>
    <row r="38" spans="1:34" ht="73.5" customHeight="1" thickTop="1">
      <c r="A38" s="273" t="s">
        <v>125</v>
      </c>
      <c r="B38" s="274" t="s">
        <v>126</v>
      </c>
      <c r="C38" s="275"/>
      <c r="D38" s="276" t="s">
        <v>127</v>
      </c>
      <c r="E38" s="200"/>
      <c r="F38" s="277"/>
      <c r="G38" s="200"/>
      <c r="H38" s="278"/>
      <c r="I38" s="200"/>
      <c r="J38" s="214"/>
      <c r="K38" s="200"/>
      <c r="L38" s="277"/>
      <c r="M38" s="200"/>
      <c r="N38" s="279"/>
      <c r="O38" s="200"/>
      <c r="P38" s="280"/>
      <c r="Q38" s="281"/>
      <c r="R38" s="281"/>
      <c r="S38" s="282"/>
      <c r="T38" s="274" t="s">
        <v>128</v>
      </c>
      <c r="U38" s="283"/>
      <c r="V38" s="214"/>
      <c r="W38" s="201"/>
      <c r="Y38" s="9" t="s">
        <v>18</v>
      </c>
      <c r="Z38" s="9"/>
      <c r="AA38" s="9" t="s">
        <v>129</v>
      </c>
      <c r="AC38" s="9" t="s">
        <v>130</v>
      </c>
      <c r="AD38" s="8" t="s">
        <v>131</v>
      </c>
      <c r="AE38" s="8"/>
    </row>
    <row r="39" spans="1:34" ht="40.5" customHeight="1">
      <c r="A39" s="273"/>
      <c r="B39" s="214"/>
      <c r="C39" s="275"/>
      <c r="D39" s="200"/>
      <c r="F39" s="214"/>
      <c r="G39" s="200"/>
      <c r="H39" s="214"/>
      <c r="I39" s="200"/>
      <c r="J39" s="214"/>
      <c r="K39" s="200"/>
      <c r="L39" s="214"/>
      <c r="M39" s="200"/>
      <c r="N39" s="214"/>
      <c r="O39" s="200"/>
      <c r="P39" s="214"/>
      <c r="Q39" s="282"/>
      <c r="R39" s="282"/>
      <c r="S39" s="282"/>
      <c r="T39" s="274" t="s">
        <v>132</v>
      </c>
      <c r="U39" s="200"/>
      <c r="V39" s="214"/>
      <c r="W39" s="201"/>
      <c r="Y39" s="9"/>
      <c r="Z39" s="9"/>
      <c r="AA39" s="9" t="s">
        <v>133</v>
      </c>
      <c r="AB39" s="9" t="s">
        <v>134</v>
      </c>
      <c r="AC39" s="9" t="s">
        <v>130</v>
      </c>
      <c r="AD39" s="8"/>
      <c r="AE39" s="8"/>
    </row>
    <row r="40" spans="1:34" ht="58.5" customHeight="1" thickBot="1">
      <c r="A40" s="284"/>
      <c r="B40" s="285"/>
      <c r="C40" s="286"/>
      <c r="D40" s="287"/>
      <c r="E40" s="287"/>
      <c r="F40" s="285"/>
      <c r="G40" s="287"/>
      <c r="H40" s="285"/>
      <c r="I40" s="287"/>
      <c r="J40" s="285"/>
      <c r="K40" s="287"/>
      <c r="L40" s="285"/>
      <c r="M40" s="287"/>
      <c r="N40" s="285"/>
      <c r="O40" s="287"/>
      <c r="P40" s="46"/>
      <c r="R40" s="288"/>
      <c r="S40" s="288"/>
      <c r="T40" s="289"/>
      <c r="U40" s="290"/>
      <c r="V40" s="291"/>
      <c r="W40" s="292"/>
      <c r="Y40" s="9"/>
      <c r="Z40" s="9"/>
      <c r="AD40" s="8"/>
      <c r="AE40" s="8"/>
    </row>
    <row r="41" spans="1:34" ht="31.5" customHeight="1" thickTop="1">
      <c r="A41" s="293" t="s">
        <v>135</v>
      </c>
      <c r="B41" s="294">
        <f>B46+D46+F46+H46+J46+N46+L46</f>
        <v>512</v>
      </c>
      <c r="C41" s="295"/>
      <c r="D41" s="296"/>
      <c r="F41" s="296"/>
      <c r="G41" s="297"/>
      <c r="H41" s="278"/>
      <c r="I41" s="298"/>
      <c r="J41" s="278"/>
      <c r="K41" s="299"/>
      <c r="L41" s="278"/>
      <c r="M41" s="299"/>
      <c r="N41" s="279"/>
      <c r="O41" s="300"/>
      <c r="P41" s="291"/>
      <c r="Q41" s="288"/>
      <c r="R41" s="301"/>
      <c r="S41" s="301"/>
      <c r="T41" s="580"/>
      <c r="U41" s="581"/>
      <c r="V41" s="581"/>
      <c r="W41" s="582"/>
      <c r="X41" s="302"/>
      <c r="Y41" s="303"/>
    </row>
    <row r="42" spans="1:34" ht="73" thickBot="1">
      <c r="A42" s="304" t="s">
        <v>136</v>
      </c>
      <c r="B42" s="305">
        <f>SUM(B44:R44)</f>
        <v>17.3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9"/>
      <c r="O42" s="300"/>
      <c r="P42" s="282"/>
      <c r="Q42" s="115"/>
      <c r="R42" s="301"/>
      <c r="S42" s="301"/>
      <c r="T42" s="583"/>
      <c r="U42" s="584"/>
      <c r="V42" s="584"/>
      <c r="W42" s="585"/>
      <c r="X42" s="302"/>
      <c r="Y42" s="303"/>
    </row>
    <row r="43" spans="1:34" ht="72">
      <c r="A43" s="304" t="s">
        <v>137</v>
      </c>
      <c r="B43" s="294">
        <f>B41/B42</f>
        <v>29.595375722543352</v>
      </c>
      <c r="C43" s="295"/>
      <c r="D43" s="296"/>
      <c r="E43" s="297"/>
      <c r="F43" s="296"/>
      <c r="G43" s="297"/>
      <c r="H43" s="278"/>
      <c r="I43" s="299"/>
      <c r="J43" s="278"/>
      <c r="K43" s="299"/>
      <c r="L43" s="278"/>
      <c r="M43" s="299"/>
      <c r="N43" s="279"/>
      <c r="O43" s="300"/>
      <c r="P43" s="282"/>
      <c r="Q43" s="115"/>
      <c r="R43" s="306"/>
      <c r="S43" s="306"/>
      <c r="T43" s="307"/>
      <c r="U43" s="308"/>
      <c r="V43" s="308"/>
      <c r="W43" s="309"/>
      <c r="X43" s="306"/>
      <c r="Y43" s="303"/>
    </row>
    <row r="44" spans="1:34" ht="72">
      <c r="A44" s="310" t="s">
        <v>138</v>
      </c>
      <c r="B44" s="305">
        <f>C9</f>
        <v>3</v>
      </c>
      <c r="C44" s="295"/>
      <c r="D44" s="296">
        <f>E9</f>
        <v>2.6</v>
      </c>
      <c r="E44" s="297"/>
      <c r="F44" s="296">
        <f>G9</f>
        <v>2.5</v>
      </c>
      <c r="G44" s="297"/>
      <c r="H44" s="278">
        <f>I9</f>
        <v>2.6</v>
      </c>
      <c r="I44" s="299"/>
      <c r="J44" s="278">
        <f>K9</f>
        <v>2</v>
      </c>
      <c r="K44" s="299"/>
      <c r="L44" s="278">
        <f>M9</f>
        <v>3.3</v>
      </c>
      <c r="M44" s="299"/>
      <c r="N44" s="311">
        <f>O9</f>
        <v>1.3</v>
      </c>
      <c r="O44" s="300"/>
      <c r="P44" s="312"/>
      <c r="Q44" s="313"/>
      <c r="R44" s="313"/>
      <c r="S44" s="313"/>
      <c r="T44" s="314"/>
      <c r="U44" s="315"/>
      <c r="V44" s="315"/>
      <c r="W44" s="316"/>
      <c r="X44" s="317"/>
      <c r="Y44" s="303"/>
    </row>
    <row r="45" spans="1:34" ht="72">
      <c r="A45" s="304" t="s">
        <v>139</v>
      </c>
      <c r="B45" s="294">
        <f>B41/B42*B44-B46</f>
        <v>15.786127167630056</v>
      </c>
      <c r="C45" s="295"/>
      <c r="D45" s="318">
        <f>B41/B42*D44-D46</f>
        <v>2.947976878612721</v>
      </c>
      <c r="E45" s="319"/>
      <c r="F45" s="318">
        <f>B41/B42*F44-F46</f>
        <v>-1.156069364162704E-2</v>
      </c>
      <c r="G45" s="320"/>
      <c r="H45" s="321">
        <f>B41/B42*H44-H46</f>
        <v>11.947976878612721</v>
      </c>
      <c r="I45" s="322"/>
      <c r="J45" s="321">
        <f>B41/B42*J44-J46</f>
        <v>-10.809248554913296</v>
      </c>
      <c r="K45" s="322"/>
      <c r="L45" s="321">
        <f>B41/B42*L44-L46</f>
        <v>-4.3352601156069426</v>
      </c>
      <c r="M45" s="322"/>
      <c r="N45" s="311">
        <f>B41/B42*N44-N46</f>
        <v>-15.52601156069364</v>
      </c>
      <c r="O45" s="323"/>
      <c r="P45" s="324"/>
      <c r="Q45" s="324"/>
      <c r="R45" s="324"/>
      <c r="S45" s="325"/>
      <c r="T45" s="326"/>
      <c r="U45" s="327"/>
      <c r="V45" s="328"/>
      <c r="W45" s="329"/>
      <c r="X45" s="330"/>
      <c r="Y45" s="303"/>
    </row>
    <row r="46" spans="1:34" ht="73" thickBot="1">
      <c r="A46" s="310" t="s">
        <v>140</v>
      </c>
      <c r="B46" s="294">
        <v>73</v>
      </c>
      <c r="C46" s="295"/>
      <c r="D46" s="331">
        <v>74</v>
      </c>
      <c r="F46" s="318">
        <v>74</v>
      </c>
      <c r="G46" s="320"/>
      <c r="H46" s="332">
        <v>65</v>
      </c>
      <c r="J46" s="321">
        <v>70</v>
      </c>
      <c r="K46" s="322"/>
      <c r="L46" s="333">
        <v>102</v>
      </c>
      <c r="M46" s="322" t="s">
        <v>141</v>
      </c>
      <c r="N46" s="334">
        <v>54</v>
      </c>
      <c r="O46" s="335"/>
      <c r="P46" s="336"/>
      <c r="Q46" s="325"/>
      <c r="R46" s="336"/>
      <c r="S46" s="325"/>
      <c r="T46" s="337"/>
      <c r="U46" s="338"/>
      <c r="V46" s="339"/>
      <c r="W46" s="340"/>
      <c r="X46" s="330"/>
      <c r="Y46" s="303"/>
    </row>
    <row r="47" spans="1:34" ht="120.75" customHeight="1" thickBot="1">
      <c r="A47" s="341" t="s">
        <v>142</v>
      </c>
      <c r="B47" s="342" t="s">
        <v>143</v>
      </c>
      <c r="C47" s="343">
        <v>73</v>
      </c>
      <c r="D47" s="344" t="s">
        <v>144</v>
      </c>
      <c r="E47" s="345">
        <v>74</v>
      </c>
      <c r="F47" s="346" t="s">
        <v>145</v>
      </c>
      <c r="G47" s="347">
        <v>74</v>
      </c>
      <c r="H47" s="346" t="s">
        <v>146</v>
      </c>
      <c r="I47" s="347">
        <v>65</v>
      </c>
      <c r="J47" s="346" t="s">
        <v>147</v>
      </c>
      <c r="K47" s="348" t="s">
        <v>148</v>
      </c>
      <c r="L47" s="349" t="s">
        <v>149</v>
      </c>
      <c r="M47" s="348" t="s">
        <v>150</v>
      </c>
      <c r="N47" s="350" t="s">
        <v>151</v>
      </c>
      <c r="O47" s="351">
        <v>54</v>
      </c>
      <c r="P47" s="325"/>
      <c r="Q47" s="303"/>
      <c r="R47" s="325"/>
      <c r="S47" s="303"/>
      <c r="T47" s="352"/>
      <c r="U47" s="353"/>
      <c r="V47" s="328"/>
      <c r="W47" s="328"/>
      <c r="X47" s="330"/>
      <c r="Y47" s="303"/>
      <c r="AA47" s="9" t="s">
        <v>152</v>
      </c>
    </row>
    <row r="48" spans="1:34">
      <c r="A48" s="303"/>
      <c r="B48" s="354"/>
      <c r="C48" s="354"/>
      <c r="D48" s="355"/>
      <c r="E48" s="354"/>
      <c r="F48" s="354"/>
      <c r="G48" s="354"/>
      <c r="H48" s="356"/>
      <c r="I48" s="354"/>
      <c r="J48" s="356"/>
      <c r="K48" s="354"/>
      <c r="L48" s="354"/>
      <c r="M48" s="354"/>
      <c r="N48" s="356"/>
      <c r="O48" s="354"/>
      <c r="P48" s="354"/>
      <c r="Q48" s="354"/>
      <c r="R48" s="354"/>
      <c r="S48" s="354"/>
      <c r="T48" s="354"/>
      <c r="U48" s="354"/>
      <c r="V48" s="354"/>
      <c r="W48" s="354"/>
      <c r="X48" s="303"/>
      <c r="Y48" s="303"/>
    </row>
    <row r="49" spans="1:25" ht="72">
      <c r="A49" s="357" t="s">
        <v>153</v>
      </c>
      <c r="B49" s="354">
        <f>14-J70+I70+K70</f>
        <v>11.85</v>
      </c>
      <c r="C49" s="354"/>
      <c r="D49" s="308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8"/>
      <c r="W49" s="358"/>
    </row>
    <row r="50" spans="1:25" ht="72">
      <c r="A50" s="357" t="s">
        <v>154</v>
      </c>
      <c r="B50" s="359">
        <f>B41/B49</f>
        <v>43.206751054852319</v>
      </c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8"/>
      <c r="W50" s="358"/>
    </row>
    <row r="51" spans="1:25" ht="72">
      <c r="A51" s="357" t="s">
        <v>155</v>
      </c>
      <c r="B51" s="354">
        <f>B43*B44</f>
        <v>88.786127167630056</v>
      </c>
      <c r="C51" s="354"/>
      <c r="D51" s="354">
        <f>B43*D44</f>
        <v>76.947976878612721</v>
      </c>
      <c r="E51" s="354"/>
      <c r="F51" s="354">
        <f>B43*F44</f>
        <v>73.988439306358373</v>
      </c>
      <c r="G51" s="354"/>
      <c r="H51" s="359">
        <f>B43*H44</f>
        <v>76.947976878612721</v>
      </c>
      <c r="I51" s="354"/>
      <c r="J51" s="354">
        <f>B43*J44</f>
        <v>59.190751445086704</v>
      </c>
      <c r="K51" s="354"/>
      <c r="L51" s="359">
        <f>B43*L44</f>
        <v>97.664739884393057</v>
      </c>
      <c r="M51" s="354"/>
      <c r="N51" s="354">
        <f>B43*N44</f>
        <v>38.47398843930636</v>
      </c>
      <c r="O51" s="354"/>
      <c r="P51" s="354"/>
      <c r="Q51" s="354"/>
      <c r="R51" s="354"/>
      <c r="S51" s="354"/>
      <c r="T51" s="354"/>
      <c r="U51" s="354"/>
      <c r="V51" s="354"/>
      <c r="W51" s="354"/>
      <c r="X51" s="303"/>
      <c r="Y51" s="303"/>
    </row>
    <row r="52" spans="1:25" ht="72">
      <c r="A52" s="357" t="s">
        <v>156</v>
      </c>
      <c r="B52" s="354">
        <f>B51/B50</f>
        <v>2.054913294797688</v>
      </c>
      <c r="C52" s="354"/>
      <c r="D52" s="354">
        <f>D51/B50</f>
        <v>1.7809248554913297</v>
      </c>
      <c r="E52" s="354"/>
      <c r="F52" s="354">
        <f>F51/B50</f>
        <v>1.7124277456647397</v>
      </c>
      <c r="G52" s="354"/>
      <c r="H52" s="354">
        <f>H51/B50</f>
        <v>1.7809248554913297</v>
      </c>
      <c r="I52" s="354"/>
      <c r="J52" s="354">
        <f>J51/B50</f>
        <v>1.3699421965317919</v>
      </c>
      <c r="K52" s="354"/>
      <c r="L52" s="359">
        <f>L51/B50</f>
        <v>2.2604046242774567</v>
      </c>
      <c r="M52" s="354"/>
      <c r="N52" s="354">
        <f>N51/B50</f>
        <v>0.89046242774566486</v>
      </c>
      <c r="O52" s="354"/>
      <c r="P52" s="354"/>
      <c r="Q52" s="354"/>
      <c r="R52" s="354"/>
      <c r="S52" s="354"/>
      <c r="T52" s="354"/>
      <c r="U52" s="354"/>
      <c r="V52" s="354"/>
      <c r="W52" s="354"/>
      <c r="X52" s="303"/>
      <c r="Y52" s="303"/>
    </row>
    <row r="53" spans="1:25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03"/>
      <c r="Y53" s="303"/>
    </row>
    <row r="54" spans="1:25">
      <c r="A54" s="303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03"/>
      <c r="Y54" s="303"/>
    </row>
    <row r="55" spans="1:25" ht="36">
      <c r="A55" s="360" t="s">
        <v>157</v>
      </c>
      <c r="B55" s="361"/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4"/>
      <c r="X55" s="303"/>
      <c r="Y55" s="303"/>
    </row>
    <row r="56" spans="1:25">
      <c r="A56" s="303"/>
      <c r="B56" s="361" t="s">
        <v>158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4"/>
      <c r="X56" s="303"/>
      <c r="Y56" s="303"/>
    </row>
    <row r="57" spans="1:25">
      <c r="A57" s="303"/>
      <c r="B57" s="361" t="s">
        <v>159</v>
      </c>
      <c r="C57" s="362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4"/>
      <c r="X57" s="303"/>
      <c r="Y57" s="303"/>
    </row>
    <row r="58" spans="1:25">
      <c r="A58" s="303"/>
      <c r="B58" s="361" t="s">
        <v>160</v>
      </c>
      <c r="C58" s="361"/>
      <c r="D58" s="362"/>
      <c r="E58" s="362"/>
      <c r="F58" s="362"/>
      <c r="G58" s="362"/>
      <c r="H58" s="362"/>
      <c r="I58" s="362"/>
      <c r="J58" s="363"/>
      <c r="K58" s="353"/>
      <c r="L58" s="353"/>
      <c r="M58" s="353"/>
      <c r="N58" s="353"/>
      <c r="O58" s="353"/>
      <c r="P58" s="353"/>
      <c r="Q58" s="353"/>
      <c r="R58" s="353"/>
      <c r="S58" s="353"/>
      <c r="T58" s="353"/>
      <c r="U58" s="353"/>
      <c r="V58" s="353"/>
      <c r="W58" s="354"/>
      <c r="X58" s="303"/>
      <c r="Y58" s="303"/>
    </row>
    <row r="59" spans="1:25">
      <c r="A59" s="364"/>
      <c r="B59" s="361" t="s">
        <v>161</v>
      </c>
      <c r="C59" s="361"/>
      <c r="D59" s="361"/>
      <c r="E59" s="361"/>
      <c r="F59" s="361"/>
      <c r="G59" s="361"/>
      <c r="H59" s="361"/>
      <c r="I59" s="361"/>
      <c r="J59" s="365"/>
      <c r="K59" s="366"/>
      <c r="L59" s="366"/>
      <c r="M59" s="366"/>
      <c r="N59" s="366"/>
      <c r="O59" s="366"/>
      <c r="P59" s="353"/>
      <c r="Q59" s="353"/>
      <c r="R59" s="353"/>
      <c r="S59" s="353"/>
      <c r="T59" s="353"/>
      <c r="U59" s="353"/>
      <c r="V59" s="353"/>
      <c r="W59" s="355"/>
      <c r="X59" s="364"/>
      <c r="Y59" s="364"/>
    </row>
    <row r="60" spans="1:25">
      <c r="A60" s="364"/>
      <c r="B60" s="367" t="s">
        <v>162</v>
      </c>
      <c r="C60" s="366"/>
      <c r="D60" s="366"/>
      <c r="E60" s="365"/>
      <c r="F60" s="365"/>
      <c r="G60" s="365"/>
      <c r="H60" s="365"/>
      <c r="I60" s="365"/>
      <c r="J60" s="365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53"/>
      <c r="W60" s="355"/>
      <c r="X60" s="364"/>
      <c r="Y60" s="364"/>
    </row>
    <row r="61" spans="1:25">
      <c r="A61" s="364"/>
      <c r="B61" s="366" t="s">
        <v>163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8"/>
      <c r="R61" s="368"/>
      <c r="S61" s="368"/>
      <c r="T61" s="368"/>
      <c r="U61" s="368"/>
      <c r="V61" s="369"/>
      <c r="W61" s="364"/>
      <c r="X61" s="364"/>
      <c r="Y61" s="364"/>
    </row>
    <row r="62" spans="1:25">
      <c r="A62" s="364"/>
      <c r="B62" s="366" t="s">
        <v>164</v>
      </c>
      <c r="C62" s="366"/>
      <c r="D62" s="366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8"/>
      <c r="R62" s="368"/>
      <c r="S62" s="368"/>
      <c r="T62" s="368"/>
      <c r="U62" s="368"/>
      <c r="V62" s="369"/>
      <c r="W62" s="364"/>
      <c r="X62" s="364"/>
      <c r="Y62" s="364"/>
    </row>
    <row r="63" spans="1:25">
      <c r="A63" s="364"/>
      <c r="B63" s="367" t="s">
        <v>165</v>
      </c>
      <c r="C63" s="367"/>
      <c r="D63" s="367"/>
      <c r="E63" s="367"/>
      <c r="F63" s="367"/>
      <c r="G63" s="367"/>
      <c r="H63" s="366"/>
      <c r="I63" s="366"/>
      <c r="J63" s="366"/>
      <c r="K63" s="366"/>
      <c r="L63" s="366"/>
      <c r="M63" s="366"/>
      <c r="N63" s="366"/>
      <c r="O63" s="366"/>
      <c r="P63" s="366"/>
      <c r="Q63" s="368"/>
      <c r="R63" s="368"/>
      <c r="S63" s="368"/>
      <c r="T63" s="368"/>
      <c r="U63" s="368"/>
      <c r="V63" s="369"/>
      <c r="W63" s="364"/>
      <c r="X63" s="364"/>
      <c r="Y63" s="364"/>
    </row>
    <row r="64" spans="1:25">
      <c r="A64" s="364"/>
      <c r="B64" s="367" t="s">
        <v>166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8"/>
      <c r="R64" s="368"/>
      <c r="S64" s="368"/>
      <c r="T64" s="368"/>
      <c r="U64" s="368"/>
      <c r="V64" s="369"/>
      <c r="W64" s="364"/>
      <c r="X64" s="364"/>
      <c r="Y64" s="364"/>
    </row>
    <row r="65" spans="1:25">
      <c r="A65" s="364"/>
      <c r="B65" s="367" t="s">
        <v>167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8"/>
      <c r="R65" s="368"/>
      <c r="S65" s="368"/>
      <c r="T65" s="368"/>
      <c r="U65" s="368"/>
      <c r="V65" s="369"/>
      <c r="W65" s="364"/>
      <c r="X65" s="364"/>
      <c r="Y65" s="364"/>
    </row>
    <row r="66" spans="1:25">
      <c r="A66" s="364"/>
      <c r="B66" s="367" t="s">
        <v>168</v>
      </c>
      <c r="C66" s="370"/>
      <c r="D66" s="370"/>
      <c r="E66" s="371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8"/>
      <c r="R66" s="368"/>
      <c r="S66" s="368"/>
      <c r="T66" s="368"/>
      <c r="U66" s="368"/>
      <c r="V66" s="369"/>
      <c r="W66" s="364"/>
      <c r="X66" s="364"/>
      <c r="Y66" s="364"/>
    </row>
    <row r="67" spans="1:25">
      <c r="A67" s="372" t="s">
        <v>169</v>
      </c>
      <c r="B67" s="373"/>
      <c r="C67" s="366"/>
      <c r="D67" s="366"/>
      <c r="E67" s="366"/>
      <c r="F67" s="366"/>
      <c r="G67" s="374"/>
      <c r="H67" s="374"/>
      <c r="I67" s="374"/>
      <c r="J67" s="374"/>
      <c r="K67" s="374"/>
      <c r="L67" s="374"/>
      <c r="M67" s="374"/>
      <c r="N67" s="374"/>
      <c r="O67" s="374"/>
      <c r="P67" s="374"/>
      <c r="Q67" s="374"/>
      <c r="R67" s="374"/>
      <c r="S67" s="374"/>
      <c r="T67" s="374"/>
      <c r="U67" s="374"/>
      <c r="V67" s="374"/>
      <c r="W67" s="374"/>
      <c r="X67" s="374"/>
      <c r="Y67" s="374"/>
    </row>
    <row r="68" spans="1:25">
      <c r="A68" s="306"/>
      <c r="B68" s="373"/>
      <c r="C68" s="366"/>
      <c r="D68" s="366"/>
      <c r="E68" s="366"/>
      <c r="F68" s="366"/>
      <c r="G68" s="306"/>
      <c r="H68" s="306"/>
      <c r="I68" s="306"/>
      <c r="J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</row>
    <row r="69" spans="1:25">
      <c r="B69" s="375" t="s">
        <v>170</v>
      </c>
      <c r="C69" s="376" t="s">
        <v>171</v>
      </c>
      <c r="D69" s="376" t="s">
        <v>172</v>
      </c>
      <c r="E69" s="376" t="s">
        <v>53</v>
      </c>
      <c r="F69" s="376" t="s">
        <v>7</v>
      </c>
      <c r="G69" s="376" t="s">
        <v>173</v>
      </c>
      <c r="H69" s="376" t="s">
        <v>174</v>
      </c>
      <c r="I69" s="377" t="s">
        <v>175</v>
      </c>
      <c r="J69" s="375" t="s">
        <v>176</v>
      </c>
      <c r="K69" s="378" t="s">
        <v>177</v>
      </c>
      <c r="L69" s="379"/>
      <c r="M69" s="379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</row>
    <row r="70" spans="1:25">
      <c r="B70" s="376"/>
      <c r="C70" s="376">
        <v>1</v>
      </c>
      <c r="D70" s="376" t="s">
        <v>178</v>
      </c>
      <c r="E70" s="376">
        <v>0.25</v>
      </c>
      <c r="F70" s="376">
        <f>O17</f>
        <v>0.4</v>
      </c>
      <c r="G70" s="380">
        <v>0.5</v>
      </c>
      <c r="H70" s="376">
        <v>0</v>
      </c>
      <c r="I70" s="377">
        <v>0</v>
      </c>
      <c r="J70" s="376">
        <f>SUM(C70:H70)</f>
        <v>2.15</v>
      </c>
      <c r="K70" s="378">
        <v>0</v>
      </c>
      <c r="L70" s="379"/>
      <c r="M70" s="379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</row>
    <row r="71" spans="1:25">
      <c r="A71" s="306"/>
      <c r="B71" s="306"/>
      <c r="C71" s="306"/>
      <c r="D71" s="306"/>
      <c r="F71" s="306"/>
      <c r="G71" s="306"/>
      <c r="H71" s="306"/>
      <c r="I71" s="306"/>
      <c r="J71" s="306"/>
      <c r="K71" s="306"/>
      <c r="L71" s="306"/>
      <c r="M71" s="306"/>
      <c r="N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</row>
    <row r="73" spans="1:25" ht="72">
      <c r="A73" s="381" t="s">
        <v>179</v>
      </c>
      <c r="B73" s="382" t="s">
        <v>180</v>
      </c>
      <c r="C73" s="382">
        <v>0</v>
      </c>
      <c r="D73" s="382">
        <v>0</v>
      </c>
    </row>
    <row r="74" spans="1:25">
      <c r="A74" s="382"/>
      <c r="B74" s="382" t="s">
        <v>181</v>
      </c>
      <c r="C74" s="382">
        <f>IF(OR(E1="Wednesday",E1="Friday"),0.75,0.5)</f>
        <v>0.5</v>
      </c>
      <c r="D74" s="382">
        <f>IF(OR(E1="Monday",E1="Friday"),0.25,0.5)</f>
        <v>0.5</v>
      </c>
    </row>
    <row r="75" spans="1:25">
      <c r="A75" s="382"/>
      <c r="B75" s="382" t="s">
        <v>182</v>
      </c>
      <c r="C75" s="382">
        <f>0.25</f>
        <v>0.25</v>
      </c>
      <c r="D75" s="382"/>
      <c r="K75" s="306"/>
      <c r="L75" s="306"/>
      <c r="M75" s="306"/>
    </row>
    <row r="78" spans="1:25">
      <c r="A78" s="383"/>
    </row>
    <row r="82" spans="1:3">
      <c r="A82" s="8" t="s">
        <v>183</v>
      </c>
    </row>
    <row r="83" spans="1:3">
      <c r="A83" s="8" t="s">
        <v>184</v>
      </c>
      <c r="B83" s="8" t="s">
        <v>185</v>
      </c>
    </row>
    <row r="84" spans="1:3">
      <c r="B84" s="8" t="s">
        <v>186</v>
      </c>
    </row>
    <row r="86" spans="1:3">
      <c r="B86" s="8" t="s">
        <v>187</v>
      </c>
    </row>
    <row r="90" spans="1:3">
      <c r="C90" s="384"/>
    </row>
    <row r="98" spans="14:18" ht="36" thickBot="1"/>
    <row r="99" spans="14:18">
      <c r="N99" s="385"/>
      <c r="O99" s="385"/>
      <c r="P99" s="385"/>
      <c r="Q99" s="385"/>
      <c r="R99" s="385"/>
    </row>
    <row r="100" spans="14:18">
      <c r="N100" s="386"/>
      <c r="O100" s="386"/>
      <c r="P100" s="386"/>
      <c r="Q100" s="386"/>
      <c r="R100" s="386"/>
    </row>
    <row r="101" spans="14:18">
      <c r="N101" s="386"/>
      <c r="O101" s="386"/>
      <c r="P101" s="386"/>
      <c r="Q101" s="386"/>
      <c r="R101" s="386"/>
    </row>
    <row r="102" spans="14:18" ht="36" thickBot="1">
      <c r="N102" s="387"/>
      <c r="O102" s="387"/>
      <c r="P102" s="387"/>
      <c r="Q102" s="388"/>
      <c r="R102" s="389"/>
    </row>
  </sheetData>
  <mergeCells count="6">
    <mergeCell ref="T41:W42"/>
    <mergeCell ref="P3:S3"/>
    <mergeCell ref="P17:S18"/>
    <mergeCell ref="P19:S20"/>
    <mergeCell ref="Q22:S22"/>
    <mergeCell ref="P23:S24"/>
  </mergeCells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J101"/>
  <sheetViews>
    <sheetView zoomScale="40" zoomScaleNormal="40" workbookViewId="0">
      <selection activeCell="Q18" sqref="Q18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45992</v>
      </c>
      <c r="E1" s="3" t="str">
        <f>TEXT(D1, "dddd")</f>
        <v>Monday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7" t="s">
        <v>33</v>
      </c>
      <c r="C3" s="448"/>
      <c r="D3" s="447" t="s">
        <v>25</v>
      </c>
      <c r="E3" s="512">
        <v>0.6</v>
      </c>
      <c r="F3" s="449" t="s">
        <v>198</v>
      </c>
      <c r="G3" s="450"/>
      <c r="H3" s="451" t="s">
        <v>320</v>
      </c>
      <c r="I3" s="450"/>
      <c r="J3" s="447" t="s">
        <v>297</v>
      </c>
      <c r="K3" s="450"/>
      <c r="L3" s="447" t="s">
        <v>27</v>
      </c>
      <c r="M3" s="450"/>
      <c r="N3" s="447" t="s">
        <v>15</v>
      </c>
      <c r="O3" s="450"/>
      <c r="P3" s="447" t="s">
        <v>28</v>
      </c>
      <c r="Q3" s="448"/>
      <c r="R3" s="586" t="s">
        <v>306</v>
      </c>
      <c r="S3" s="587"/>
      <c r="T3" s="587"/>
      <c r="U3" s="588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529" t="s">
        <v>328</v>
      </c>
      <c r="C4" s="448"/>
      <c r="D4" s="447" t="s">
        <v>34</v>
      </c>
      <c r="E4" s="450" t="s">
        <v>39</v>
      </c>
      <c r="F4" s="447" t="s">
        <v>298</v>
      </c>
      <c r="G4" s="450"/>
      <c r="H4" s="447" t="s">
        <v>301</v>
      </c>
      <c r="I4" s="450"/>
      <c r="J4" s="447" t="s">
        <v>14</v>
      </c>
      <c r="K4" s="453"/>
      <c r="L4" s="454" t="s">
        <v>307</v>
      </c>
      <c r="M4" s="450"/>
      <c r="N4" s="447" t="s">
        <v>38</v>
      </c>
      <c r="O4" s="450">
        <v>0.6</v>
      </c>
      <c r="P4" s="447" t="s">
        <v>50</v>
      </c>
      <c r="Q4" s="450"/>
      <c r="R4" s="33" t="s">
        <v>300</v>
      </c>
      <c r="S4" s="34"/>
      <c r="T4" s="34" t="s">
        <v>317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529" t="s">
        <v>345</v>
      </c>
      <c r="C5" s="450" t="s">
        <v>346</v>
      </c>
      <c r="D5" s="447" t="s">
        <v>333</v>
      </c>
      <c r="E5" s="449"/>
      <c r="F5" s="447" t="s">
        <v>299</v>
      </c>
      <c r="G5" s="450"/>
      <c r="H5" s="447" t="s">
        <v>37</v>
      </c>
      <c r="I5" s="449"/>
      <c r="J5" s="447"/>
      <c r="K5" s="450"/>
      <c r="L5" s="454"/>
      <c r="M5" s="450"/>
      <c r="N5" s="447" t="s">
        <v>326</v>
      </c>
      <c r="O5" s="450"/>
      <c r="P5" s="447"/>
      <c r="Q5" s="449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7"/>
      <c r="E6" s="450"/>
      <c r="F6" s="447"/>
      <c r="G6" s="450"/>
      <c r="H6" s="447"/>
      <c r="I6" s="449"/>
      <c r="J6" s="447"/>
      <c r="K6" s="450"/>
      <c r="L6" s="447"/>
      <c r="M6" s="448"/>
      <c r="N6" s="447"/>
      <c r="O6" s="449"/>
      <c r="P6" s="447"/>
      <c r="Q6" s="450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7"/>
      <c r="C7" s="450"/>
      <c r="D7" s="447"/>
      <c r="E7" s="450"/>
      <c r="F7" s="447"/>
      <c r="G7" s="452"/>
      <c r="H7" s="447"/>
      <c r="I7" s="450"/>
      <c r="J7" s="447"/>
      <c r="K7" s="448"/>
      <c r="L7" s="455"/>
      <c r="M7" s="448"/>
      <c r="N7" s="447"/>
      <c r="O7" s="450"/>
      <c r="P7" s="456"/>
      <c r="Q7" s="452"/>
      <c r="R7" s="402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7"/>
      <c r="C8" s="458"/>
      <c r="D8" s="457"/>
      <c r="E8" s="450"/>
      <c r="F8" s="447"/>
      <c r="G8" s="449"/>
      <c r="H8" s="447"/>
      <c r="I8" s="449"/>
      <c r="J8" s="457"/>
      <c r="K8" s="459" t="s">
        <v>45</v>
      </c>
      <c r="L8" s="460"/>
      <c r="M8" s="459"/>
      <c r="N8" s="447"/>
      <c r="O8" s="450"/>
      <c r="P8" s="457"/>
      <c r="Q8" s="461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62"/>
      <c r="C9" s="463">
        <v>2.5</v>
      </c>
      <c r="D9" s="464"/>
      <c r="E9" s="463">
        <v>2.1</v>
      </c>
      <c r="F9" s="464"/>
      <c r="G9" s="463">
        <v>3</v>
      </c>
      <c r="H9" s="465">
        <v>3</v>
      </c>
      <c r="I9" s="463">
        <f>H9-I11</f>
        <v>3</v>
      </c>
      <c r="J9" s="464"/>
      <c r="K9" s="463">
        <v>2</v>
      </c>
      <c r="L9" s="464">
        <v>2</v>
      </c>
      <c r="M9" s="463">
        <f>L9-M11</f>
        <v>2</v>
      </c>
      <c r="N9" s="466">
        <v>2.6</v>
      </c>
      <c r="O9" s="463">
        <f>N9-O11</f>
        <v>2.2000000000000002</v>
      </c>
      <c r="P9" s="457">
        <v>2</v>
      </c>
      <c r="Q9" s="467">
        <f>P9-Q11</f>
        <v>1.3</v>
      </c>
      <c r="R9" s="54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8"/>
      <c r="C10" s="469"/>
      <c r="D10" s="466"/>
      <c r="E10" s="470"/>
      <c r="F10" s="471"/>
      <c r="G10" s="472"/>
      <c r="H10" s="473"/>
      <c r="I10" s="470"/>
      <c r="J10" s="468"/>
      <c r="K10" s="474"/>
      <c r="L10" s="475"/>
      <c r="M10" s="474"/>
      <c r="N10" s="447"/>
      <c r="O10" s="449"/>
      <c r="P10" s="457"/>
      <c r="Q10" s="452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6"/>
      <c r="C11" s="477"/>
      <c r="D11" s="478"/>
      <c r="E11" s="479"/>
      <c r="F11" s="480"/>
      <c r="G11" s="477"/>
      <c r="H11" s="481" t="s">
        <v>53</v>
      </c>
      <c r="I11" s="482">
        <v>0</v>
      </c>
      <c r="J11" s="480"/>
      <c r="K11" s="483"/>
      <c r="L11" s="481" t="s">
        <v>53</v>
      </c>
      <c r="M11" s="483">
        <v>0</v>
      </c>
      <c r="N11" s="481" t="s">
        <v>53</v>
      </c>
      <c r="O11" s="482">
        <v>0.4</v>
      </c>
      <c r="P11" s="480" t="s">
        <v>54</v>
      </c>
      <c r="Q11" s="484">
        <v>0.7</v>
      </c>
      <c r="R11" s="537" t="s">
        <v>319</v>
      </c>
      <c r="S11" s="446" t="s">
        <v>329</v>
      </c>
      <c r="T11" s="537" t="s">
        <v>315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9" t="s">
        <v>319</v>
      </c>
      <c r="C12" s="526" t="s">
        <v>213</v>
      </c>
      <c r="D12" s="533" t="s">
        <v>190</v>
      </c>
      <c r="E12" s="526" t="s">
        <v>59</v>
      </c>
      <c r="F12" s="525" t="s">
        <v>322</v>
      </c>
      <c r="G12" s="504" t="s">
        <v>331</v>
      </c>
      <c r="H12" s="527" t="s">
        <v>323</v>
      </c>
      <c r="I12" s="526" t="s">
        <v>331</v>
      </c>
      <c r="J12" s="527" t="s">
        <v>324</v>
      </c>
      <c r="K12" s="504" t="s">
        <v>213</v>
      </c>
      <c r="L12" s="534" t="s">
        <v>313</v>
      </c>
      <c r="M12" s="504" t="s">
        <v>213</v>
      </c>
      <c r="N12" s="528" t="s">
        <v>325</v>
      </c>
      <c r="O12" s="504" t="s">
        <v>213</v>
      </c>
      <c r="P12" s="536" t="s">
        <v>327</v>
      </c>
      <c r="Q12" s="530" t="s">
        <v>331</v>
      </c>
      <c r="R12" s="537" t="s">
        <v>190</v>
      </c>
      <c r="S12" s="537" t="s">
        <v>330</v>
      </c>
      <c r="T12" s="444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347</v>
      </c>
      <c r="C13" s="531" t="s">
        <v>261</v>
      </c>
      <c r="D13" s="551" t="s">
        <v>67</v>
      </c>
      <c r="E13" s="531" t="s">
        <v>87</v>
      </c>
      <c r="F13" s="552" t="s">
        <v>315</v>
      </c>
      <c r="G13" s="531" t="s">
        <v>87</v>
      </c>
      <c r="H13" s="551" t="s">
        <v>67</v>
      </c>
      <c r="I13" s="531" t="s">
        <v>348</v>
      </c>
      <c r="J13" s="551" t="s">
        <v>67</v>
      </c>
      <c r="K13" s="504" t="s">
        <v>344</v>
      </c>
      <c r="L13" s="550" t="s">
        <v>347</v>
      </c>
      <c r="M13" s="531" t="s">
        <v>344</v>
      </c>
      <c r="N13" s="552" t="s">
        <v>315</v>
      </c>
      <c r="O13" s="531" t="s">
        <v>350</v>
      </c>
      <c r="P13" s="552" t="s">
        <v>315</v>
      </c>
      <c r="Q13" s="531" t="s">
        <v>351</v>
      </c>
      <c r="R13" s="445" t="s">
        <v>311</v>
      </c>
      <c r="S13" s="446" t="s">
        <v>332</v>
      </c>
      <c r="T13" s="53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0"/>
      <c r="C14" s="531"/>
      <c r="D14" s="551"/>
      <c r="E14" s="531"/>
      <c r="F14" s="550" t="s">
        <v>347</v>
      </c>
      <c r="G14" s="531" t="s">
        <v>72</v>
      </c>
      <c r="H14" s="552" t="s">
        <v>262</v>
      </c>
      <c r="I14" s="531" t="s">
        <v>39</v>
      </c>
      <c r="J14" s="535"/>
      <c r="K14" s="532"/>
      <c r="L14" s="535"/>
      <c r="M14" s="449"/>
      <c r="N14" s="534"/>
      <c r="O14" s="531"/>
      <c r="P14" s="529"/>
      <c r="Q14" s="531"/>
      <c r="R14" s="519" t="s">
        <v>318</v>
      </c>
      <c r="S14" s="446" t="s">
        <v>314</v>
      </c>
      <c r="T14" s="524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8"/>
      <c r="C15" s="489"/>
      <c r="D15" s="551"/>
      <c r="E15" s="531"/>
      <c r="F15" s="552" t="s">
        <v>262</v>
      </c>
      <c r="G15" s="531" t="s">
        <v>36</v>
      </c>
      <c r="H15" s="550"/>
      <c r="I15" s="531"/>
      <c r="J15" s="46"/>
      <c r="L15" s="535"/>
      <c r="M15" s="531"/>
      <c r="N15" s="488"/>
      <c r="O15" s="520"/>
      <c r="P15" s="471"/>
      <c r="Q15" s="485"/>
      <c r="R15" s="445" t="s">
        <v>308</v>
      </c>
      <c r="S15" s="537" t="s">
        <v>63</v>
      </c>
      <c r="T15" s="524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13"/>
      <c r="C16" s="450"/>
      <c r="D16" s="518"/>
      <c r="E16" s="514"/>
      <c r="F16" s="513"/>
      <c r="G16" s="450"/>
      <c r="H16" s="515"/>
      <c r="I16" s="450"/>
      <c r="J16" s="486"/>
      <c r="K16" s="516"/>
      <c r="L16" s="517"/>
      <c r="M16" s="516"/>
      <c r="N16" s="513"/>
      <c r="O16" s="521"/>
      <c r="P16" s="513"/>
      <c r="Q16" s="490"/>
      <c r="R16" s="444" t="s">
        <v>65</v>
      </c>
      <c r="S16" s="546" t="s">
        <v>262</v>
      </c>
      <c r="T16" s="524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7"/>
      <c r="C17" s="491"/>
      <c r="D17" s="518" t="s">
        <v>316</v>
      </c>
      <c r="E17" s="492" t="s">
        <v>39</v>
      </c>
      <c r="F17" s="518" t="s">
        <v>316</v>
      </c>
      <c r="G17" s="493" t="s">
        <v>36</v>
      </c>
      <c r="H17" s="494"/>
      <c r="I17" s="495"/>
      <c r="J17" s="447"/>
      <c r="K17" s="449"/>
      <c r="L17" s="522"/>
      <c r="M17" s="495"/>
      <c r="N17" s="553" t="s">
        <v>315</v>
      </c>
      <c r="O17" s="495" t="s">
        <v>344</v>
      </c>
      <c r="P17" s="496" t="s">
        <v>54</v>
      </c>
      <c r="Q17" s="497">
        <v>0.4</v>
      </c>
      <c r="R17" s="589" t="s">
        <v>342</v>
      </c>
      <c r="S17" s="590"/>
      <c r="T17" s="591"/>
      <c r="U17" s="592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8">
        <f>B51</f>
        <v>1.5676795580110494</v>
      </c>
      <c r="C18" s="499"/>
      <c r="D18" s="498">
        <f>D51</f>
        <v>1.3168508287292817</v>
      </c>
      <c r="E18" s="500"/>
      <c r="F18" s="498">
        <f>F51</f>
        <v>1.8812154696132595</v>
      </c>
      <c r="G18" s="499"/>
      <c r="H18" s="498">
        <f>H51</f>
        <v>1.8812154696132595</v>
      </c>
      <c r="I18" s="499"/>
      <c r="J18" s="501">
        <f>J51</f>
        <v>1.2541436464088396</v>
      </c>
      <c r="K18" s="499"/>
      <c r="L18" s="501">
        <f>L51</f>
        <v>1.2541436464088396</v>
      </c>
      <c r="M18" s="499"/>
      <c r="N18" s="498">
        <f>N51</f>
        <v>1.3795580110497239</v>
      </c>
      <c r="O18" s="500"/>
      <c r="P18" s="502">
        <f>P51</f>
        <v>0.81519337016574578</v>
      </c>
      <c r="Q18" s="500">
        <f>P18+Q17</f>
        <v>1.2151933701657458</v>
      </c>
      <c r="R18" s="593"/>
      <c r="S18" s="594"/>
      <c r="T18" s="594"/>
      <c r="U18" s="595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10"/>
      <c r="C19" s="511"/>
      <c r="D19" s="510"/>
      <c r="E19" s="511"/>
      <c r="F19" s="510" t="s">
        <v>354</v>
      </c>
      <c r="G19" s="505" t="s">
        <v>355</v>
      </c>
      <c r="H19" s="510" t="s">
        <v>358</v>
      </c>
      <c r="I19" s="511" t="s">
        <v>359</v>
      </c>
      <c r="J19" s="552"/>
      <c r="K19" s="511"/>
      <c r="L19" s="506"/>
      <c r="M19" s="504"/>
      <c r="N19" s="510"/>
      <c r="O19" s="511"/>
      <c r="P19" s="510"/>
      <c r="Q19" s="511"/>
      <c r="R19" s="596" t="s">
        <v>90</v>
      </c>
      <c r="S19" s="597"/>
      <c r="T19" s="597"/>
      <c r="U19" s="598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4"/>
      <c r="C20" s="504"/>
      <c r="D20" s="503"/>
      <c r="E20" s="504"/>
      <c r="F20" s="508"/>
      <c r="G20" s="507"/>
      <c r="H20" s="510" t="s">
        <v>360</v>
      </c>
      <c r="I20" s="504" t="s">
        <v>361</v>
      </c>
      <c r="J20" s="503"/>
      <c r="K20" s="504"/>
      <c r="L20" s="506"/>
      <c r="M20" s="504"/>
      <c r="N20" s="503"/>
      <c r="O20" s="504"/>
      <c r="P20" s="503"/>
      <c r="Q20" s="504"/>
      <c r="R20" s="545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09" t="s">
        <v>356</v>
      </c>
      <c r="I21" s="107" t="s">
        <v>357</v>
      </c>
      <c r="J21" s="24"/>
      <c r="K21" s="160"/>
      <c r="L21" s="506"/>
      <c r="M21" s="504"/>
      <c r="N21" s="24"/>
      <c r="O21" s="107"/>
      <c r="P21" s="24"/>
      <c r="Q21" s="20"/>
      <c r="R21" s="168"/>
      <c r="S21" s="602" t="s">
        <v>93</v>
      </c>
      <c r="T21" s="602"/>
      <c r="U21" s="603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10"/>
      <c r="I22" s="107"/>
      <c r="J22" s="46"/>
      <c r="L22" s="173" t="s">
        <v>117</v>
      </c>
      <c r="M22" s="172"/>
      <c r="N22" s="503"/>
      <c r="O22" s="504"/>
      <c r="P22" s="176"/>
      <c r="Q22" s="177"/>
      <c r="R22" s="604"/>
      <c r="S22" s="605"/>
      <c r="T22" s="605"/>
      <c r="U22" s="606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07"/>
      <c r="S23" s="608"/>
      <c r="T23" s="608"/>
      <c r="U23" s="609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-1.9337016574585704</v>
      </c>
      <c r="C30" s="218"/>
      <c r="D30" s="219">
        <f>D44</f>
        <v>-12.624309392265197</v>
      </c>
      <c r="E30" s="220"/>
      <c r="F30" s="221">
        <f>F44</f>
        <v>13.679558011049721</v>
      </c>
      <c r="G30" s="221"/>
      <c r="H30" s="217">
        <f>H44</f>
        <v>22.679558011049721</v>
      </c>
      <c r="I30" s="218"/>
      <c r="J30" s="217">
        <f>J44</f>
        <v>-0.54696132596685487</v>
      </c>
      <c r="K30" s="222"/>
      <c r="L30" s="217">
        <f>L44</f>
        <v>-4.5469613259668549</v>
      </c>
      <c r="M30" s="222"/>
      <c r="N30" s="217">
        <f>N44</f>
        <v>-0.70165745856353112</v>
      </c>
      <c r="O30" s="222"/>
      <c r="P30" s="152">
        <f>P44</f>
        <v>-16.005524861878456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9" t="s">
        <v>334</v>
      </c>
      <c r="C31" s="540" t="s">
        <v>335</v>
      </c>
      <c r="D31" s="529" t="s">
        <v>339</v>
      </c>
      <c r="E31" s="540" t="s">
        <v>343</v>
      </c>
      <c r="F31" s="541"/>
      <c r="G31" s="542"/>
      <c r="H31" s="543" t="s">
        <v>47</v>
      </c>
      <c r="I31" s="542" t="s">
        <v>242</v>
      </c>
      <c r="J31" s="529" t="s">
        <v>336</v>
      </c>
      <c r="K31" s="540" t="s">
        <v>337</v>
      </c>
      <c r="L31" s="547" t="s">
        <v>338</v>
      </c>
      <c r="M31" s="542" t="s">
        <v>335</v>
      </c>
      <c r="N31" s="442" t="s">
        <v>38</v>
      </c>
      <c r="O31" s="539" t="s">
        <v>353</v>
      </c>
      <c r="P31" s="548" t="s">
        <v>340</v>
      </c>
      <c r="Q31" s="440" t="s">
        <v>341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 t="s">
        <v>34</v>
      </c>
      <c r="E32" s="229" t="s">
        <v>352</v>
      </c>
      <c r="F32" s="442"/>
      <c r="G32" s="229"/>
      <c r="H32" s="447"/>
      <c r="I32" s="440"/>
      <c r="J32" s="24"/>
      <c r="K32" s="229"/>
      <c r="L32" s="439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8"/>
      <c r="C33" s="107"/>
      <c r="D33" s="242"/>
      <c r="E33" s="52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321</v>
      </c>
      <c r="T33" s="232" t="s">
        <v>109</v>
      </c>
      <c r="U33" s="247" t="s">
        <v>312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80"/>
      <c r="W40" s="581"/>
      <c r="X40" s="581"/>
      <c r="Y40" s="582"/>
      <c r="Z40" s="302"/>
      <c r="AA40" s="303"/>
    </row>
    <row r="41" spans="1:33" ht="73" thickBot="1">
      <c r="A41" s="304" t="s">
        <v>136</v>
      </c>
      <c r="B41" s="305">
        <f>SUM(B43:T43)</f>
        <v>18.100000000000001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83"/>
      <c r="W41" s="584"/>
      <c r="X41" s="584"/>
      <c r="Y41" s="585"/>
      <c r="Z41" s="302"/>
      <c r="AA41" s="303"/>
    </row>
    <row r="42" spans="1:33" ht="72">
      <c r="A42" s="304" t="s">
        <v>137</v>
      </c>
      <c r="B42" s="294">
        <f>B40/B41</f>
        <v>29.226519337016573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2.5</v>
      </c>
      <c r="C43" s="295"/>
      <c r="D43" s="296">
        <f>E9</f>
        <v>2.1</v>
      </c>
      <c r="E43" s="297"/>
      <c r="F43" s="296">
        <f>G9</f>
        <v>3</v>
      </c>
      <c r="G43" s="297"/>
      <c r="H43" s="278">
        <f>I9</f>
        <v>3</v>
      </c>
      <c r="I43" s="299"/>
      <c r="J43" s="278">
        <f>K9</f>
        <v>2</v>
      </c>
      <c r="K43" s="299"/>
      <c r="L43" s="278">
        <f>M9</f>
        <v>2</v>
      </c>
      <c r="M43" s="299"/>
      <c r="N43" s="278">
        <f>O9</f>
        <v>2.2000000000000002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-1.9337016574585704</v>
      </c>
      <c r="C44" s="295"/>
      <c r="D44" s="318">
        <f>B40/B41*D43-D45</f>
        <v>-12.624309392265197</v>
      </c>
      <c r="E44" s="319"/>
      <c r="F44" s="318">
        <f>B40/B41*F43-F45</f>
        <v>13.679558011049721</v>
      </c>
      <c r="G44" s="320"/>
      <c r="H44" s="321">
        <f>B40/B41*H43-H45</f>
        <v>22.679558011049721</v>
      </c>
      <c r="I44" s="322"/>
      <c r="J44" s="321">
        <f>B40/B41*J43-J45</f>
        <v>-0.54696132596685487</v>
      </c>
      <c r="K44" s="322"/>
      <c r="L44" s="321">
        <f>B40/B41*L43-L45</f>
        <v>-4.5469613259668549</v>
      </c>
      <c r="M44" s="322"/>
      <c r="N44" s="321">
        <f>B40/B41*N43-N45</f>
        <v>-0.70165745856353112</v>
      </c>
      <c r="O44" s="322"/>
      <c r="P44" s="311">
        <f>B40/B41*P43-P45</f>
        <v>-16.005524861878456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305</v>
      </c>
      <c r="K46" s="348">
        <v>59</v>
      </c>
      <c r="L46" s="349" t="s">
        <v>349</v>
      </c>
      <c r="M46" s="348">
        <v>63</v>
      </c>
      <c r="N46" s="349" t="s">
        <v>304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46.607929515418505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73.06629834254143</v>
      </c>
      <c r="C50" s="354"/>
      <c r="D50" s="354">
        <f>B42*D43</f>
        <v>61.375690607734803</v>
      </c>
      <c r="E50" s="354"/>
      <c r="F50" s="354">
        <f>B42*F43</f>
        <v>87.679558011049721</v>
      </c>
      <c r="G50" s="354"/>
      <c r="H50" s="359">
        <f>B42*H43</f>
        <v>87.679558011049721</v>
      </c>
      <c r="I50" s="354"/>
      <c r="J50" s="354">
        <f>B42*J43</f>
        <v>58.453038674033145</v>
      </c>
      <c r="K50" s="354"/>
      <c r="L50" s="354">
        <f>B42*L43</f>
        <v>58.453038674033145</v>
      </c>
      <c r="M50" s="354"/>
      <c r="N50" s="359">
        <f>B42*N43</f>
        <v>64.298342541436469</v>
      </c>
      <c r="O50" s="354"/>
      <c r="P50" s="354">
        <f>B42*P43</f>
        <v>37.994475138121544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1.5676795580110494</v>
      </c>
      <c r="C51" s="354"/>
      <c r="D51" s="354">
        <f>D50/B49</f>
        <v>1.3168508287292817</v>
      </c>
      <c r="E51" s="354"/>
      <c r="F51" s="354">
        <f>F50/B49</f>
        <v>1.8812154696132595</v>
      </c>
      <c r="G51" s="354"/>
      <c r="H51" s="354">
        <f>H50/B49</f>
        <v>1.8812154696132595</v>
      </c>
      <c r="I51" s="354"/>
      <c r="J51" s="354">
        <f>J50/B49</f>
        <v>1.2541436464088396</v>
      </c>
      <c r="K51" s="354"/>
      <c r="L51" s="354">
        <f>L50/B49</f>
        <v>1.2541436464088396</v>
      </c>
      <c r="M51" s="354"/>
      <c r="N51" s="359">
        <f>N50/B49</f>
        <v>1.3795580110497239</v>
      </c>
      <c r="O51" s="354"/>
      <c r="P51" s="354">
        <f>P50/B49</f>
        <v>0.81519337016574578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1</v>
      </c>
      <c r="H69" s="376">
        <v>0</v>
      </c>
      <c r="I69" s="377">
        <v>0</v>
      </c>
      <c r="J69" s="376">
        <f>SUM(C69:H69)</f>
        <v>2.65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J101"/>
  <sheetViews>
    <sheetView topLeftCell="A3" zoomScale="60" zoomScaleNormal="60" workbookViewId="0">
      <selection activeCell="N13" sqref="N13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45993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7" t="s">
        <v>33</v>
      </c>
      <c r="C3" s="448"/>
      <c r="D3" s="447" t="s">
        <v>25</v>
      </c>
      <c r="E3" s="512">
        <v>0.75</v>
      </c>
      <c r="F3" s="449" t="s">
        <v>198</v>
      </c>
      <c r="G3" s="450"/>
      <c r="H3" s="451" t="s">
        <v>320</v>
      </c>
      <c r="I3" s="450"/>
      <c r="J3" s="447" t="s">
        <v>297</v>
      </c>
      <c r="K3" s="450"/>
      <c r="L3" s="447" t="s">
        <v>27</v>
      </c>
      <c r="M3" s="450"/>
      <c r="N3" s="447" t="s">
        <v>15</v>
      </c>
      <c r="O3" s="450"/>
      <c r="P3" s="447" t="s">
        <v>28</v>
      </c>
      <c r="Q3" s="448"/>
      <c r="R3" s="586" t="s">
        <v>306</v>
      </c>
      <c r="S3" s="587"/>
      <c r="T3" s="587"/>
      <c r="U3" s="588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529" t="s">
        <v>328</v>
      </c>
      <c r="C4" s="448"/>
      <c r="D4" s="447" t="s">
        <v>34</v>
      </c>
      <c r="E4" s="450"/>
      <c r="F4" s="447" t="s">
        <v>298</v>
      </c>
      <c r="G4" s="450"/>
      <c r="H4" s="447" t="s">
        <v>301</v>
      </c>
      <c r="I4" s="450"/>
      <c r="J4" s="447" t="s">
        <v>14</v>
      </c>
      <c r="K4" s="453"/>
      <c r="L4" s="454" t="s">
        <v>307</v>
      </c>
      <c r="M4" s="450"/>
      <c r="N4" s="447" t="s">
        <v>38</v>
      </c>
      <c r="O4" s="450"/>
      <c r="P4" s="447" t="s">
        <v>50</v>
      </c>
      <c r="Q4" s="450"/>
      <c r="R4" s="33" t="s">
        <v>29</v>
      </c>
      <c r="S4" s="34"/>
      <c r="T4" s="34" t="s">
        <v>317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529"/>
      <c r="C5" s="450"/>
      <c r="D5" s="447" t="s">
        <v>23</v>
      </c>
      <c r="E5" s="449"/>
      <c r="F5" s="447" t="s">
        <v>299</v>
      </c>
      <c r="G5" s="450"/>
      <c r="H5" s="447" t="s">
        <v>37</v>
      </c>
      <c r="I5" s="449"/>
      <c r="J5" s="447"/>
      <c r="K5" s="450"/>
      <c r="L5" s="454"/>
      <c r="M5" s="450"/>
      <c r="N5" s="447" t="s">
        <v>326</v>
      </c>
      <c r="O5" s="450"/>
      <c r="P5" s="447"/>
      <c r="Q5" s="449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7"/>
      <c r="E6" s="450"/>
      <c r="F6" s="447"/>
      <c r="G6" s="450"/>
      <c r="H6" s="447"/>
      <c r="I6" s="449"/>
      <c r="J6" s="447"/>
      <c r="K6" s="450"/>
      <c r="L6" s="447"/>
      <c r="M6" s="448"/>
      <c r="N6" s="447"/>
      <c r="O6" s="449"/>
      <c r="P6" s="447"/>
      <c r="Q6" s="450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7"/>
      <c r="C7" s="450"/>
      <c r="D7" s="447"/>
      <c r="E7" s="450"/>
      <c r="F7" s="447"/>
      <c r="G7" s="452"/>
      <c r="H7" s="447"/>
      <c r="I7" s="450"/>
      <c r="J7" s="447"/>
      <c r="K7" s="448"/>
      <c r="L7" s="455"/>
      <c r="M7" s="448"/>
      <c r="N7" s="447"/>
      <c r="O7" s="450"/>
      <c r="P7" s="456"/>
      <c r="Q7" s="452"/>
      <c r="R7" s="402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7"/>
      <c r="C8" s="458"/>
      <c r="D8" s="457"/>
      <c r="E8" s="450"/>
      <c r="F8" s="447"/>
      <c r="G8" s="449"/>
      <c r="H8" s="447"/>
      <c r="I8" s="449"/>
      <c r="J8" s="457"/>
      <c r="K8" s="459" t="s">
        <v>45</v>
      </c>
      <c r="L8" s="460"/>
      <c r="M8" s="459"/>
      <c r="N8" s="447"/>
      <c r="O8" s="450"/>
      <c r="P8" s="457"/>
      <c r="Q8" s="461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62"/>
      <c r="C9" s="463">
        <v>2</v>
      </c>
      <c r="D9" s="464"/>
      <c r="E9" s="463">
        <v>2.75</v>
      </c>
      <c r="F9" s="464"/>
      <c r="G9" s="463">
        <v>3</v>
      </c>
      <c r="H9" s="465">
        <v>3</v>
      </c>
      <c r="I9" s="463">
        <f>H9-I11</f>
        <v>3</v>
      </c>
      <c r="J9" s="464"/>
      <c r="K9" s="463">
        <v>2</v>
      </c>
      <c r="L9" s="464">
        <v>2</v>
      </c>
      <c r="M9" s="463">
        <f>L9-M11</f>
        <v>2</v>
      </c>
      <c r="N9" s="466">
        <v>3</v>
      </c>
      <c r="O9" s="463">
        <f>N9-O11</f>
        <v>2.6</v>
      </c>
      <c r="P9" s="457">
        <v>2</v>
      </c>
      <c r="Q9" s="467">
        <f>P9-Q11</f>
        <v>1.3</v>
      </c>
      <c r="R9" s="54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8"/>
      <c r="C10" s="469"/>
      <c r="D10" s="466"/>
      <c r="E10" s="470"/>
      <c r="F10" s="471"/>
      <c r="G10" s="472"/>
      <c r="H10" s="473"/>
      <c r="I10" s="470"/>
      <c r="J10" s="468"/>
      <c r="K10" s="474"/>
      <c r="L10" s="475"/>
      <c r="M10" s="474"/>
      <c r="N10" s="447"/>
      <c r="O10" s="449"/>
      <c r="P10" s="457"/>
      <c r="Q10" s="452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6"/>
      <c r="C11" s="477"/>
      <c r="D11" s="478"/>
      <c r="E11" s="479"/>
      <c r="F11" s="480"/>
      <c r="G11" s="477"/>
      <c r="H11" s="481" t="s">
        <v>53</v>
      </c>
      <c r="I11" s="482">
        <v>0</v>
      </c>
      <c r="J11" s="480"/>
      <c r="K11" s="483"/>
      <c r="L11" s="481" t="s">
        <v>53</v>
      </c>
      <c r="M11" s="483">
        <v>0</v>
      </c>
      <c r="N11" s="481" t="s">
        <v>53</v>
      </c>
      <c r="O11" s="482">
        <v>0.4</v>
      </c>
      <c r="P11" s="480" t="s">
        <v>54</v>
      </c>
      <c r="Q11" s="484">
        <v>0.7</v>
      </c>
      <c r="R11" s="537" t="s">
        <v>319</v>
      </c>
      <c r="S11" s="446" t="s">
        <v>329</v>
      </c>
      <c r="T11" s="537" t="s">
        <v>315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9" t="s">
        <v>319</v>
      </c>
      <c r="C12" s="526" t="s">
        <v>213</v>
      </c>
      <c r="D12" s="533" t="s">
        <v>190</v>
      </c>
      <c r="E12" s="526" t="s">
        <v>59</v>
      </c>
      <c r="F12" s="525" t="s">
        <v>322</v>
      </c>
      <c r="G12" s="504" t="s">
        <v>331</v>
      </c>
      <c r="H12" s="527" t="s">
        <v>323</v>
      </c>
      <c r="I12" s="526" t="s">
        <v>363</v>
      </c>
      <c r="J12" s="527" t="s">
        <v>324</v>
      </c>
      <c r="K12" s="504" t="s">
        <v>213</v>
      </c>
      <c r="L12" s="534" t="s">
        <v>313</v>
      </c>
      <c r="M12" s="504" t="s">
        <v>213</v>
      </c>
      <c r="N12" s="528" t="s">
        <v>325</v>
      </c>
      <c r="O12" s="504" t="s">
        <v>213</v>
      </c>
      <c r="P12" s="536" t="s">
        <v>327</v>
      </c>
      <c r="Q12" s="530" t="s">
        <v>331</v>
      </c>
      <c r="R12" s="537" t="s">
        <v>190</v>
      </c>
      <c r="S12" s="537" t="s">
        <v>330</v>
      </c>
      <c r="T12" s="444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347</v>
      </c>
      <c r="C13" s="505" t="s">
        <v>74</v>
      </c>
      <c r="D13" s="551" t="s">
        <v>67</v>
      </c>
      <c r="E13" s="531" t="s">
        <v>87</v>
      </c>
      <c r="F13" s="550" t="s">
        <v>347</v>
      </c>
      <c r="G13" s="531" t="s">
        <v>191</v>
      </c>
      <c r="H13" s="552" t="s">
        <v>262</v>
      </c>
      <c r="I13" s="531" t="s">
        <v>364</v>
      </c>
      <c r="J13" s="551" t="s">
        <v>67</v>
      </c>
      <c r="K13" s="504" t="s">
        <v>74</v>
      </c>
      <c r="L13" s="551" t="s">
        <v>67</v>
      </c>
      <c r="M13" s="531" t="s">
        <v>72</v>
      </c>
      <c r="N13" s="552" t="s">
        <v>315</v>
      </c>
      <c r="O13" s="531" t="s">
        <v>248</v>
      </c>
      <c r="P13" s="552" t="s">
        <v>262</v>
      </c>
      <c r="Q13" s="531" t="s">
        <v>72</v>
      </c>
      <c r="R13" s="445" t="s">
        <v>311</v>
      </c>
      <c r="S13" s="446" t="s">
        <v>332</v>
      </c>
      <c r="T13" s="53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0"/>
      <c r="C14" s="505"/>
      <c r="D14" s="552" t="s">
        <v>315</v>
      </c>
      <c r="E14" s="531" t="s">
        <v>72</v>
      </c>
      <c r="F14" s="550"/>
      <c r="G14" s="531"/>
      <c r="H14" s="551" t="s">
        <v>67</v>
      </c>
      <c r="I14" s="531" t="s">
        <v>78</v>
      </c>
      <c r="J14" s="535"/>
      <c r="K14" s="532"/>
      <c r="L14" s="535"/>
      <c r="M14" s="449"/>
      <c r="N14" s="552"/>
      <c r="O14" s="531"/>
      <c r="P14" s="529"/>
      <c r="Q14" s="531"/>
      <c r="R14" s="554" t="s">
        <v>362</v>
      </c>
      <c r="S14" s="446" t="s">
        <v>314</v>
      </c>
      <c r="T14" s="524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8"/>
      <c r="C15" s="489"/>
      <c r="D15" s="551"/>
      <c r="E15" s="531"/>
      <c r="F15" s="550"/>
      <c r="G15" s="531"/>
      <c r="H15" s="550"/>
      <c r="I15" s="531"/>
      <c r="J15" s="46"/>
      <c r="L15" s="535"/>
      <c r="M15" s="531"/>
      <c r="N15" s="488"/>
      <c r="O15" s="520"/>
      <c r="P15" s="471"/>
      <c r="Q15" s="485"/>
      <c r="R15" s="445" t="s">
        <v>308</v>
      </c>
      <c r="S15" s="537" t="s">
        <v>63</v>
      </c>
      <c r="T15" s="524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13"/>
      <c r="C16" s="450"/>
      <c r="D16" s="518"/>
      <c r="E16" s="514"/>
      <c r="F16" s="513"/>
      <c r="G16" s="450"/>
      <c r="H16" s="515"/>
      <c r="I16" s="450"/>
      <c r="J16" s="486"/>
      <c r="K16" s="516"/>
      <c r="L16" s="517"/>
      <c r="M16" s="516"/>
      <c r="N16" s="513"/>
      <c r="O16" s="521"/>
      <c r="P16" s="513"/>
      <c r="Q16" s="490"/>
      <c r="R16" s="444" t="s">
        <v>65</v>
      </c>
      <c r="S16" s="555" t="s">
        <v>262</v>
      </c>
      <c r="T16" s="524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7"/>
      <c r="C17" s="491"/>
      <c r="D17" s="518" t="s">
        <v>316</v>
      </c>
      <c r="E17" s="492" t="s">
        <v>39</v>
      </c>
      <c r="F17" s="518" t="s">
        <v>316</v>
      </c>
      <c r="G17" s="493" t="s">
        <v>36</v>
      </c>
      <c r="H17" s="494"/>
      <c r="I17" s="495"/>
      <c r="J17" s="447"/>
      <c r="K17" s="449"/>
      <c r="L17" s="522"/>
      <c r="M17" s="495"/>
      <c r="N17" s="553" t="s">
        <v>315</v>
      </c>
      <c r="O17" s="495" t="s">
        <v>87</v>
      </c>
      <c r="P17" s="496" t="s">
        <v>54</v>
      </c>
      <c r="Q17" s="497">
        <v>0.4</v>
      </c>
      <c r="R17" s="589" t="s">
        <v>365</v>
      </c>
      <c r="S17" s="590"/>
      <c r="T17" s="591"/>
      <c r="U17" s="592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8">
        <f>B51</f>
        <v>1.1903485254691688</v>
      </c>
      <c r="C18" s="499"/>
      <c r="D18" s="498">
        <f>D51</f>
        <v>1.6367292225201071</v>
      </c>
      <c r="E18" s="500"/>
      <c r="F18" s="498">
        <f>F51</f>
        <v>1.7855227882037532</v>
      </c>
      <c r="G18" s="499"/>
      <c r="H18" s="498">
        <f>H51</f>
        <v>1.7855227882037532</v>
      </c>
      <c r="I18" s="499"/>
      <c r="J18" s="501">
        <f>J51</f>
        <v>1.1903485254691688</v>
      </c>
      <c r="K18" s="499"/>
      <c r="L18" s="501">
        <f>L51</f>
        <v>1.1903485254691688</v>
      </c>
      <c r="M18" s="499"/>
      <c r="N18" s="498">
        <f>N51</f>
        <v>1.5474530831099196</v>
      </c>
      <c r="O18" s="500"/>
      <c r="P18" s="502">
        <f>P51</f>
        <v>0.77372654155495979</v>
      </c>
      <c r="Q18" s="500">
        <f>P18+Q17</f>
        <v>1.1737265415549598</v>
      </c>
      <c r="R18" s="593"/>
      <c r="S18" s="594"/>
      <c r="T18" s="594"/>
      <c r="U18" s="595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10"/>
      <c r="C19" s="511"/>
      <c r="D19" s="510" t="s">
        <v>356</v>
      </c>
      <c r="E19" s="511" t="s">
        <v>366</v>
      </c>
      <c r="F19" s="550" t="s">
        <v>356</v>
      </c>
      <c r="G19" s="505" t="s">
        <v>368</v>
      </c>
      <c r="H19" s="510" t="s">
        <v>358</v>
      </c>
      <c r="I19" s="511" t="s">
        <v>371</v>
      </c>
      <c r="J19" s="552"/>
      <c r="K19" s="511"/>
      <c r="L19" s="506"/>
      <c r="M19" s="504"/>
      <c r="N19" s="503" t="s">
        <v>360</v>
      </c>
      <c r="O19" s="504" t="s">
        <v>372</v>
      </c>
      <c r="P19" s="510"/>
      <c r="Q19" s="511"/>
      <c r="R19" s="596" t="s">
        <v>90</v>
      </c>
      <c r="S19" s="597"/>
      <c r="T19" s="597"/>
      <c r="U19" s="598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4"/>
      <c r="C20" s="504"/>
      <c r="D20" s="503"/>
      <c r="E20" s="504"/>
      <c r="F20" s="509" t="s">
        <v>369</v>
      </c>
      <c r="G20" s="507" t="s">
        <v>370</v>
      </c>
      <c r="H20" s="510" t="s">
        <v>356</v>
      </c>
      <c r="I20" s="504" t="s">
        <v>367</v>
      </c>
      <c r="J20" s="503"/>
      <c r="K20" s="504"/>
      <c r="L20" s="506"/>
      <c r="M20" s="504"/>
      <c r="N20" s="46"/>
      <c r="P20" s="503"/>
      <c r="Q20" s="504"/>
      <c r="R20" s="545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09"/>
      <c r="I21" s="107"/>
      <c r="J21" s="24"/>
      <c r="K21" s="160"/>
      <c r="L21" s="506"/>
      <c r="M21" s="504"/>
      <c r="N21" s="24"/>
      <c r="O21" s="107"/>
      <c r="P21" s="24"/>
      <c r="Q21" s="20"/>
      <c r="R21" s="168"/>
      <c r="S21" s="602" t="s">
        <v>93</v>
      </c>
      <c r="T21" s="602"/>
      <c r="U21" s="603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10"/>
      <c r="I22" s="107"/>
      <c r="J22" s="46"/>
      <c r="L22" s="173" t="s">
        <v>117</v>
      </c>
      <c r="M22" s="172"/>
      <c r="N22" s="503"/>
      <c r="O22" s="504"/>
      <c r="P22" s="176"/>
      <c r="Q22" s="177"/>
      <c r="R22" s="604"/>
      <c r="S22" s="605"/>
      <c r="T22" s="605"/>
      <c r="U22" s="606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07"/>
      <c r="S23" s="608"/>
      <c r="T23" s="608"/>
      <c r="U23" s="609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-18.270777479892764</v>
      </c>
      <c r="C30" s="218"/>
      <c r="D30" s="219">
        <f>D44</f>
        <v>4.002680965147448</v>
      </c>
      <c r="E30" s="220"/>
      <c r="F30" s="221">
        <f>F44</f>
        <v>11.09383378016085</v>
      </c>
      <c r="G30" s="221"/>
      <c r="H30" s="217">
        <f>H44</f>
        <v>20.09383378016085</v>
      </c>
      <c r="I30" s="218"/>
      <c r="J30" s="217">
        <f>J44</f>
        <v>-2.2707774798927645</v>
      </c>
      <c r="K30" s="222"/>
      <c r="L30" s="217">
        <f>L44</f>
        <v>-6.2707774798927645</v>
      </c>
      <c r="M30" s="222"/>
      <c r="N30" s="217">
        <f>N44</f>
        <v>8.7479892761394069</v>
      </c>
      <c r="O30" s="222"/>
      <c r="P30" s="152">
        <f>P44</f>
        <v>-17.126005361930297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9" t="s">
        <v>334</v>
      </c>
      <c r="C31" s="540" t="s">
        <v>99</v>
      </c>
      <c r="D31" s="529" t="s">
        <v>25</v>
      </c>
      <c r="E31" s="540" t="s">
        <v>343</v>
      </c>
      <c r="F31" s="541"/>
      <c r="G31" s="542"/>
      <c r="H31" s="543" t="s">
        <v>47</v>
      </c>
      <c r="I31" s="542" t="s">
        <v>242</v>
      </c>
      <c r="J31" s="529" t="s">
        <v>26</v>
      </c>
      <c r="K31" s="540" t="s">
        <v>99</v>
      </c>
      <c r="L31" s="547" t="s">
        <v>243</v>
      </c>
      <c r="M31" s="542" t="s">
        <v>99</v>
      </c>
      <c r="N31" s="442"/>
      <c r="O31" s="539"/>
      <c r="P31" s="548"/>
      <c r="Q31" s="440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7"/>
      <c r="I32" s="440"/>
      <c r="J32" s="24"/>
      <c r="K32" s="229"/>
      <c r="L32" s="439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8"/>
      <c r="C33" s="107"/>
      <c r="D33" s="242"/>
      <c r="E33" s="52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321</v>
      </c>
      <c r="T33" s="232" t="s">
        <v>109</v>
      </c>
      <c r="U33" s="247" t="s">
        <v>312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80"/>
      <c r="W40" s="581"/>
      <c r="X40" s="581"/>
      <c r="Y40" s="582"/>
      <c r="Z40" s="302"/>
      <c r="AA40" s="303"/>
    </row>
    <row r="41" spans="1:33" ht="73" thickBot="1">
      <c r="A41" s="304" t="s">
        <v>136</v>
      </c>
      <c r="B41" s="305">
        <f>SUM(B43:T43)</f>
        <v>18.650000000000002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83"/>
      <c r="W41" s="584"/>
      <c r="X41" s="584"/>
      <c r="Y41" s="585"/>
      <c r="Z41" s="302"/>
      <c r="AA41" s="303"/>
    </row>
    <row r="42" spans="1:33" ht="72">
      <c r="A42" s="304" t="s">
        <v>137</v>
      </c>
      <c r="B42" s="294">
        <f>B40/B41</f>
        <v>28.364611260053618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2.75</v>
      </c>
      <c r="E43" s="297"/>
      <c r="F43" s="296">
        <f>G9</f>
        <v>3</v>
      </c>
      <c r="G43" s="297"/>
      <c r="H43" s="278">
        <f>I9</f>
        <v>3</v>
      </c>
      <c r="I43" s="299"/>
      <c r="J43" s="278">
        <f>K9</f>
        <v>2</v>
      </c>
      <c r="K43" s="299"/>
      <c r="L43" s="278">
        <f>M9</f>
        <v>2</v>
      </c>
      <c r="M43" s="299"/>
      <c r="N43" s="278">
        <f>O9</f>
        <v>2.6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-18.270777479892764</v>
      </c>
      <c r="C44" s="295"/>
      <c r="D44" s="318">
        <f>B40/B41*D43-D45</f>
        <v>4.002680965147448</v>
      </c>
      <c r="E44" s="319"/>
      <c r="F44" s="318">
        <f>B40/B41*F43-F45</f>
        <v>11.09383378016085</v>
      </c>
      <c r="G44" s="320"/>
      <c r="H44" s="321">
        <f>B40/B41*H43-H45</f>
        <v>20.09383378016085</v>
      </c>
      <c r="I44" s="322"/>
      <c r="J44" s="321">
        <f>B40/B41*J43-J45</f>
        <v>-2.2707774798927645</v>
      </c>
      <c r="K44" s="322"/>
      <c r="L44" s="321">
        <f>B40/B41*L43-L45</f>
        <v>-6.2707774798927645</v>
      </c>
      <c r="M44" s="322"/>
      <c r="N44" s="321">
        <f>B40/B41*N43-N45</f>
        <v>8.7479892761394069</v>
      </c>
      <c r="O44" s="322"/>
      <c r="P44" s="311">
        <f>B40/B41*P43-P45</f>
        <v>-17.126005361930297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305</v>
      </c>
      <c r="K46" s="348">
        <v>59</v>
      </c>
      <c r="L46" s="349" t="s">
        <v>349</v>
      </c>
      <c r="M46" s="348">
        <v>63</v>
      </c>
      <c r="N46" s="349" t="s">
        <v>304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11.1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47.657657657657658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56.729222520107236</v>
      </c>
      <c r="C50" s="354"/>
      <c r="D50" s="354">
        <f>B42*D43</f>
        <v>78.002680965147448</v>
      </c>
      <c r="E50" s="354"/>
      <c r="F50" s="354">
        <f>B42*F43</f>
        <v>85.09383378016085</v>
      </c>
      <c r="G50" s="354"/>
      <c r="H50" s="359">
        <f>B42*H43</f>
        <v>85.09383378016085</v>
      </c>
      <c r="I50" s="354"/>
      <c r="J50" s="354">
        <f>B42*J43</f>
        <v>56.729222520107236</v>
      </c>
      <c r="K50" s="354"/>
      <c r="L50" s="354">
        <f>B42*L43</f>
        <v>56.729222520107236</v>
      </c>
      <c r="M50" s="354"/>
      <c r="N50" s="359">
        <f>B42*N43</f>
        <v>73.747989276139407</v>
      </c>
      <c r="O50" s="354"/>
      <c r="P50" s="354">
        <f>B42*P43</f>
        <v>36.873994638069703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1.1903485254691688</v>
      </c>
      <c r="C51" s="354"/>
      <c r="D51" s="354">
        <f>D50/B49</f>
        <v>1.6367292225201071</v>
      </c>
      <c r="E51" s="354"/>
      <c r="F51" s="354">
        <f>F50/B49</f>
        <v>1.7855227882037532</v>
      </c>
      <c r="G51" s="354"/>
      <c r="H51" s="354">
        <f>H50/B49</f>
        <v>1.7855227882037532</v>
      </c>
      <c r="I51" s="354"/>
      <c r="J51" s="354">
        <f>J50/B49</f>
        <v>1.1903485254691688</v>
      </c>
      <c r="K51" s="354"/>
      <c r="L51" s="354">
        <f>L50/B49</f>
        <v>1.1903485254691688</v>
      </c>
      <c r="M51" s="354"/>
      <c r="N51" s="359">
        <f>N50/B49</f>
        <v>1.5474530831099196</v>
      </c>
      <c r="O51" s="354"/>
      <c r="P51" s="354">
        <f>P50/B49</f>
        <v>0.77372654155495979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1.25</v>
      </c>
      <c r="H69" s="376">
        <v>0</v>
      </c>
      <c r="I69" s="377">
        <v>0</v>
      </c>
      <c r="J69" s="376">
        <f>SUM(C69:H69)</f>
        <v>2.9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J101"/>
  <sheetViews>
    <sheetView zoomScale="40" zoomScaleNormal="40" workbookViewId="0">
      <selection activeCell="B65" sqref="B65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45994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7" t="s">
        <v>33</v>
      </c>
      <c r="C3" s="448"/>
      <c r="D3" s="447" t="s">
        <v>25</v>
      </c>
      <c r="E3" s="512"/>
      <c r="F3" s="449" t="s">
        <v>198</v>
      </c>
      <c r="G3" s="450"/>
      <c r="H3" s="451" t="s">
        <v>320</v>
      </c>
      <c r="I3" s="450"/>
      <c r="J3" s="447" t="s">
        <v>297</v>
      </c>
      <c r="K3" s="450"/>
      <c r="L3" s="447" t="s">
        <v>27</v>
      </c>
      <c r="M3" s="450"/>
      <c r="N3" s="447" t="s">
        <v>15</v>
      </c>
      <c r="O3" s="450"/>
      <c r="P3" s="447" t="s">
        <v>28</v>
      </c>
      <c r="Q3" s="448"/>
      <c r="R3" s="586" t="s">
        <v>306</v>
      </c>
      <c r="S3" s="587"/>
      <c r="T3" s="587"/>
      <c r="U3" s="588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529" t="s">
        <v>328</v>
      </c>
      <c r="C4" s="448"/>
      <c r="D4" s="447" t="s">
        <v>34</v>
      </c>
      <c r="E4" s="450"/>
      <c r="F4" s="447" t="s">
        <v>298</v>
      </c>
      <c r="G4" s="450"/>
      <c r="H4" s="447" t="s">
        <v>301</v>
      </c>
      <c r="I4" s="450"/>
      <c r="J4" s="447" t="s">
        <v>14</v>
      </c>
      <c r="K4" s="453"/>
      <c r="L4" s="454" t="s">
        <v>307</v>
      </c>
      <c r="M4" s="450"/>
      <c r="N4" s="447" t="s">
        <v>38</v>
      </c>
      <c r="O4" s="450"/>
      <c r="P4" s="447" t="s">
        <v>50</v>
      </c>
      <c r="Q4" s="450"/>
      <c r="R4" s="33" t="s">
        <v>29</v>
      </c>
      <c r="S4" s="34"/>
      <c r="T4" s="34" t="s">
        <v>317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529"/>
      <c r="C5" s="26"/>
      <c r="D5" s="447" t="s">
        <v>23</v>
      </c>
      <c r="E5" s="449">
        <v>0.3</v>
      </c>
      <c r="F5" s="447" t="s">
        <v>299</v>
      </c>
      <c r="G5" s="450"/>
      <c r="H5" s="447" t="s">
        <v>37</v>
      </c>
      <c r="I5" s="449"/>
      <c r="J5" s="447"/>
      <c r="K5" s="450"/>
      <c r="L5" s="454"/>
      <c r="M5" s="450"/>
      <c r="N5" s="447" t="s">
        <v>326</v>
      </c>
      <c r="O5" s="450"/>
      <c r="P5" s="447" t="s">
        <v>374</v>
      </c>
      <c r="Q5" s="557" t="s">
        <v>375</v>
      </c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7"/>
      <c r="E6" s="556"/>
      <c r="F6" s="447"/>
      <c r="G6" s="450"/>
      <c r="H6" s="447"/>
      <c r="I6" s="449"/>
      <c r="J6" s="447"/>
      <c r="K6" s="450"/>
      <c r="L6" s="447"/>
      <c r="M6" s="448"/>
      <c r="N6" s="447"/>
      <c r="O6" s="449"/>
      <c r="P6" s="447"/>
      <c r="Q6" s="450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7"/>
      <c r="C7" s="450"/>
      <c r="D7" s="447"/>
      <c r="E7" s="450"/>
      <c r="F7" s="447"/>
      <c r="G7" s="452"/>
      <c r="H7" s="447"/>
      <c r="I7" s="450"/>
      <c r="J7" s="447"/>
      <c r="K7" s="448"/>
      <c r="L7" s="455"/>
      <c r="M7" s="448"/>
      <c r="N7" s="447"/>
      <c r="O7" s="450"/>
      <c r="P7" s="456"/>
      <c r="Q7" s="452"/>
      <c r="R7" s="402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7"/>
      <c r="C8" s="458"/>
      <c r="D8" s="457"/>
      <c r="E8" s="450"/>
      <c r="F8" s="447"/>
      <c r="G8" s="449"/>
      <c r="H8" s="447"/>
      <c r="I8" s="449"/>
      <c r="J8" s="457"/>
      <c r="K8" s="459" t="s">
        <v>45</v>
      </c>
      <c r="L8" s="460"/>
      <c r="M8" s="459"/>
      <c r="N8" s="447"/>
      <c r="O8" s="450"/>
      <c r="P8" s="457"/>
      <c r="Q8" s="461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62"/>
      <c r="C9" s="463">
        <v>2</v>
      </c>
      <c r="D9" s="464"/>
      <c r="E9" s="463">
        <v>2.2999999999999998</v>
      </c>
      <c r="F9" s="464"/>
      <c r="G9" s="463">
        <v>3</v>
      </c>
      <c r="H9" s="465">
        <v>3</v>
      </c>
      <c r="I9" s="463">
        <f>H9-I11</f>
        <v>3</v>
      </c>
      <c r="J9" s="464"/>
      <c r="K9" s="463">
        <v>2</v>
      </c>
      <c r="L9" s="464">
        <v>2</v>
      </c>
      <c r="M9" s="463">
        <f>L9-M11</f>
        <v>2</v>
      </c>
      <c r="N9" s="466">
        <v>3</v>
      </c>
      <c r="O9" s="463">
        <f>N9-O11</f>
        <v>2.6</v>
      </c>
      <c r="P9" s="457">
        <v>2.5</v>
      </c>
      <c r="Q9" s="467">
        <f>P9-Q11</f>
        <v>1.8</v>
      </c>
      <c r="R9" s="54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8"/>
      <c r="C10" s="469"/>
      <c r="D10" s="466"/>
      <c r="E10" s="470"/>
      <c r="F10" s="471"/>
      <c r="G10" s="472"/>
      <c r="H10" s="473"/>
      <c r="I10" s="470"/>
      <c r="J10" s="468"/>
      <c r="K10" s="474"/>
      <c r="L10" s="475"/>
      <c r="M10" s="474"/>
      <c r="N10" s="447"/>
      <c r="O10" s="449"/>
      <c r="P10" s="457"/>
      <c r="Q10" s="452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6"/>
      <c r="C11" s="477"/>
      <c r="D11" s="478"/>
      <c r="E11" s="479"/>
      <c r="F11" s="480"/>
      <c r="G11" s="477"/>
      <c r="H11" s="481" t="s">
        <v>53</v>
      </c>
      <c r="I11" s="482">
        <v>0</v>
      </c>
      <c r="J11" s="480"/>
      <c r="K11" s="483"/>
      <c r="L11" s="481" t="s">
        <v>53</v>
      </c>
      <c r="M11" s="483">
        <v>0</v>
      </c>
      <c r="N11" s="481" t="s">
        <v>53</v>
      </c>
      <c r="O11" s="482">
        <v>0.4</v>
      </c>
      <c r="P11" s="480" t="s">
        <v>54</v>
      </c>
      <c r="Q11" s="484">
        <v>0.7</v>
      </c>
      <c r="R11" s="537" t="s">
        <v>319</v>
      </c>
      <c r="S11" s="446" t="s">
        <v>329</v>
      </c>
      <c r="T11" s="537" t="s">
        <v>315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9" t="s">
        <v>319</v>
      </c>
      <c r="C12" s="526" t="s">
        <v>213</v>
      </c>
      <c r="D12" s="533" t="s">
        <v>190</v>
      </c>
      <c r="E12" s="526" t="s">
        <v>59</v>
      </c>
      <c r="F12" s="525" t="s">
        <v>322</v>
      </c>
      <c r="G12" s="504" t="s">
        <v>331</v>
      </c>
      <c r="H12" s="527" t="s">
        <v>323</v>
      </c>
      <c r="I12" s="526" t="s">
        <v>59</v>
      </c>
      <c r="J12" s="527" t="s">
        <v>324</v>
      </c>
      <c r="K12" s="504" t="s">
        <v>213</v>
      </c>
      <c r="L12" s="534" t="s">
        <v>313</v>
      </c>
      <c r="M12" s="504" t="s">
        <v>213</v>
      </c>
      <c r="N12" s="528" t="s">
        <v>325</v>
      </c>
      <c r="O12" s="504" t="s">
        <v>213</v>
      </c>
      <c r="P12" s="536" t="s">
        <v>327</v>
      </c>
      <c r="Q12" s="530" t="s">
        <v>331</v>
      </c>
      <c r="R12" s="537" t="s">
        <v>190</v>
      </c>
      <c r="S12" s="537" t="s">
        <v>330</v>
      </c>
      <c r="T12" s="444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1" t="s">
        <v>67</v>
      </c>
      <c r="C13" s="531" t="s">
        <v>78</v>
      </c>
      <c r="D13" s="551" t="s">
        <v>67</v>
      </c>
      <c r="E13" s="531" t="s">
        <v>379</v>
      </c>
      <c r="F13" s="550" t="s">
        <v>347</v>
      </c>
      <c r="G13" s="531" t="s">
        <v>377</v>
      </c>
      <c r="H13" s="552" t="s">
        <v>262</v>
      </c>
      <c r="I13" s="531" t="s">
        <v>191</v>
      </c>
      <c r="J13" s="551" t="s">
        <v>67</v>
      </c>
      <c r="K13" s="504" t="s">
        <v>74</v>
      </c>
      <c r="L13" s="550" t="s">
        <v>347</v>
      </c>
      <c r="M13" s="505" t="s">
        <v>74</v>
      </c>
      <c r="N13" s="552" t="s">
        <v>315</v>
      </c>
      <c r="O13" s="531" t="s">
        <v>378</v>
      </c>
      <c r="P13" s="552" t="s">
        <v>262</v>
      </c>
      <c r="Q13" s="531" t="s">
        <v>74</v>
      </c>
      <c r="R13" s="445" t="s">
        <v>311</v>
      </c>
      <c r="S13" s="446" t="s">
        <v>332</v>
      </c>
      <c r="T13" s="53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1"/>
      <c r="C14" s="505"/>
      <c r="D14" s="551"/>
      <c r="E14" s="531"/>
      <c r="F14" s="550"/>
      <c r="G14" s="531"/>
      <c r="H14" s="552"/>
      <c r="I14" s="531"/>
      <c r="J14" s="535"/>
      <c r="K14" s="532"/>
      <c r="L14" s="535"/>
      <c r="N14" s="552"/>
      <c r="O14" s="531"/>
      <c r="P14" s="552" t="s">
        <v>315</v>
      </c>
      <c r="Q14" s="531" t="s">
        <v>72</v>
      </c>
      <c r="R14" s="519" t="s">
        <v>318</v>
      </c>
      <c r="S14" s="446" t="s">
        <v>314</v>
      </c>
      <c r="T14" s="524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8"/>
      <c r="C15" s="489"/>
      <c r="D15" s="551"/>
      <c r="E15" s="531"/>
      <c r="F15" s="550"/>
      <c r="G15" s="531"/>
      <c r="H15" s="552"/>
      <c r="I15" s="531"/>
      <c r="J15" s="46"/>
      <c r="L15" s="535"/>
      <c r="M15" s="531"/>
      <c r="N15" s="488"/>
      <c r="O15" s="520"/>
      <c r="P15" s="471"/>
      <c r="Q15" s="485"/>
      <c r="R15" s="445" t="s">
        <v>308</v>
      </c>
      <c r="S15" s="537" t="s">
        <v>63</v>
      </c>
      <c r="T15" s="524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13"/>
      <c r="C16" s="450"/>
      <c r="D16" s="518"/>
      <c r="E16" s="514"/>
      <c r="F16" s="513"/>
      <c r="G16" s="450"/>
      <c r="H16" s="515"/>
      <c r="I16" s="450"/>
      <c r="J16" s="486"/>
      <c r="K16" s="516"/>
      <c r="L16" s="517"/>
      <c r="M16" s="516"/>
      <c r="N16" s="513"/>
      <c r="O16" s="521"/>
      <c r="P16" s="513"/>
      <c r="Q16" s="490"/>
      <c r="R16" s="444" t="s">
        <v>65</v>
      </c>
      <c r="S16" s="555" t="s">
        <v>262</v>
      </c>
      <c r="T16" s="524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7"/>
      <c r="C17" s="491"/>
      <c r="D17" s="518" t="s">
        <v>316</v>
      </c>
      <c r="E17" s="492" t="s">
        <v>39</v>
      </c>
      <c r="F17" s="518" t="s">
        <v>316</v>
      </c>
      <c r="G17" s="493" t="s">
        <v>36</v>
      </c>
      <c r="H17" s="494"/>
      <c r="I17" s="495"/>
      <c r="J17" s="447"/>
      <c r="K17" s="449"/>
      <c r="L17" s="522"/>
      <c r="M17" s="495"/>
      <c r="N17" s="553" t="s">
        <v>315</v>
      </c>
      <c r="O17" s="495" t="s">
        <v>87</v>
      </c>
      <c r="P17" s="496" t="s">
        <v>54</v>
      </c>
      <c r="Q17" s="497">
        <v>0.4</v>
      </c>
      <c r="R17" s="589" t="s">
        <v>376</v>
      </c>
      <c r="S17" s="590"/>
      <c r="T17" s="591"/>
      <c r="U17" s="592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8">
        <f>B51</f>
        <v>1.2139037433155078</v>
      </c>
      <c r="C18" s="499"/>
      <c r="D18" s="498">
        <f>D51</f>
        <v>1.3959893048128338</v>
      </c>
      <c r="E18" s="500"/>
      <c r="F18" s="498">
        <f>F51</f>
        <v>1.8208556149732618</v>
      </c>
      <c r="G18" s="499"/>
      <c r="H18" s="498">
        <f>H51</f>
        <v>1.8208556149732618</v>
      </c>
      <c r="I18" s="499"/>
      <c r="J18" s="501">
        <f>J51</f>
        <v>1.2139037433155078</v>
      </c>
      <c r="K18" s="499"/>
      <c r="L18" s="501">
        <f>L51</f>
        <v>1.2139037433155078</v>
      </c>
      <c r="M18" s="499"/>
      <c r="N18" s="498">
        <f>N51</f>
        <v>1.5780748663101603</v>
      </c>
      <c r="O18" s="500"/>
      <c r="P18" s="502">
        <f>P51</f>
        <v>1.092513368983957</v>
      </c>
      <c r="Q18" s="500">
        <f>P18+Q17</f>
        <v>1.4925133689839569</v>
      </c>
      <c r="R18" s="593"/>
      <c r="S18" s="594"/>
      <c r="T18" s="594"/>
      <c r="U18" s="595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10"/>
      <c r="C19" s="511"/>
      <c r="D19" s="510"/>
      <c r="E19" s="511"/>
      <c r="F19" s="550" t="s">
        <v>369</v>
      </c>
      <c r="G19" s="505" t="s">
        <v>384</v>
      </c>
      <c r="H19" s="510" t="s">
        <v>358</v>
      </c>
      <c r="I19" s="511" t="s">
        <v>387</v>
      </c>
      <c r="J19" s="552"/>
      <c r="K19" s="511"/>
      <c r="L19" s="506"/>
      <c r="M19" s="504"/>
      <c r="N19" s="503" t="s">
        <v>385</v>
      </c>
      <c r="O19" s="504" t="s">
        <v>386</v>
      </c>
      <c r="P19" s="510"/>
      <c r="Q19" s="511"/>
      <c r="R19" s="596" t="s">
        <v>90</v>
      </c>
      <c r="S19" s="597"/>
      <c r="T19" s="597"/>
      <c r="U19" s="598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4"/>
      <c r="C20" s="504"/>
      <c r="D20" s="503"/>
      <c r="E20" s="504"/>
      <c r="F20" s="509" t="s">
        <v>380</v>
      </c>
      <c r="G20" s="507" t="s">
        <v>381</v>
      </c>
      <c r="H20" s="510" t="s">
        <v>356</v>
      </c>
      <c r="I20" s="504" t="s">
        <v>383</v>
      </c>
      <c r="J20" s="503"/>
      <c r="K20" s="504"/>
      <c r="L20" s="506"/>
      <c r="M20" s="504"/>
      <c r="N20" s="503" t="s">
        <v>388</v>
      </c>
      <c r="O20" s="504" t="s">
        <v>389</v>
      </c>
      <c r="P20" s="503"/>
      <c r="Q20" s="504"/>
      <c r="R20" s="545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09" t="s">
        <v>380</v>
      </c>
      <c r="I21" s="504" t="s">
        <v>382</v>
      </c>
      <c r="J21" s="24"/>
      <c r="K21" s="160"/>
      <c r="L21" s="506"/>
      <c r="M21" s="504"/>
      <c r="N21" s="24"/>
      <c r="O21" s="107"/>
      <c r="P21" s="24"/>
      <c r="Q21" s="20"/>
      <c r="R21" s="168"/>
      <c r="S21" s="602" t="s">
        <v>93</v>
      </c>
      <c r="T21" s="602"/>
      <c r="U21" s="603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10"/>
      <c r="I22" s="107"/>
      <c r="J22" s="46"/>
      <c r="L22" s="173" t="s">
        <v>117</v>
      </c>
      <c r="M22" s="172"/>
      <c r="N22" s="503"/>
      <c r="O22" s="504"/>
      <c r="P22" s="176"/>
      <c r="Q22" s="177"/>
      <c r="R22" s="604"/>
      <c r="S22" s="605"/>
      <c r="T22" s="605"/>
      <c r="U22" s="606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07"/>
      <c r="S23" s="608"/>
      <c r="T23" s="608"/>
      <c r="U23" s="609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-18.422459893048135</v>
      </c>
      <c r="C30" s="218"/>
      <c r="D30" s="219">
        <f>D44</f>
        <v>-8.9358288770053633</v>
      </c>
      <c r="E30" s="220"/>
      <c r="F30" s="221">
        <f>F44</f>
        <v>10.866310160427801</v>
      </c>
      <c r="G30" s="221"/>
      <c r="H30" s="217">
        <f>H44</f>
        <v>19.866310160427801</v>
      </c>
      <c r="I30" s="218"/>
      <c r="J30" s="217">
        <f>J44</f>
        <v>-2.4224598930481349</v>
      </c>
      <c r="K30" s="222"/>
      <c r="L30" s="217">
        <f>L44</f>
        <v>-6.4224598930481349</v>
      </c>
      <c r="M30" s="222"/>
      <c r="N30" s="217">
        <f>N44</f>
        <v>8.5508021390374296</v>
      </c>
      <c r="O30" s="222"/>
      <c r="P30" s="152">
        <f>P44</f>
        <v>-3.0802139037433207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00" customHeight="1" thickTop="1">
      <c r="A31" s="19"/>
      <c r="B31" s="529" t="s">
        <v>334</v>
      </c>
      <c r="C31" s="540" t="s">
        <v>99</v>
      </c>
      <c r="D31" s="529" t="s">
        <v>23</v>
      </c>
      <c r="E31" s="540" t="s">
        <v>373</v>
      </c>
      <c r="F31" s="541"/>
      <c r="G31" s="542"/>
      <c r="H31" s="543" t="s">
        <v>47</v>
      </c>
      <c r="I31" s="542" t="s">
        <v>242</v>
      </c>
      <c r="J31" s="529" t="s">
        <v>26</v>
      </c>
      <c r="K31" s="540" t="s">
        <v>99</v>
      </c>
      <c r="L31" s="547" t="s">
        <v>243</v>
      </c>
      <c r="M31" s="542" t="s">
        <v>99</v>
      </c>
      <c r="N31" s="442"/>
      <c r="O31" s="539"/>
      <c r="P31" s="548"/>
      <c r="Q31" s="440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22" customHeight="1">
      <c r="A32" s="96"/>
      <c r="B32" s="108"/>
      <c r="C32" s="107"/>
      <c r="D32" s="24"/>
      <c r="E32" s="229"/>
      <c r="F32" s="442"/>
      <c r="G32" s="229"/>
      <c r="H32" s="447"/>
      <c r="I32" s="440"/>
      <c r="J32" s="24"/>
      <c r="K32" s="229"/>
      <c r="L32" s="439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8"/>
      <c r="C33" s="107"/>
      <c r="D33" s="242"/>
      <c r="E33" s="52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321</v>
      </c>
      <c r="T33" s="232" t="s">
        <v>109</v>
      </c>
      <c r="U33" s="247" t="s">
        <v>312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80"/>
      <c r="W40" s="581"/>
      <c r="X40" s="581"/>
      <c r="Y40" s="582"/>
      <c r="Z40" s="302"/>
      <c r="AA40" s="303"/>
    </row>
    <row r="41" spans="1:33" ht="73" thickBot="1">
      <c r="A41" s="304" t="s">
        <v>136</v>
      </c>
      <c r="B41" s="305">
        <f>SUM(B43:T43)</f>
        <v>18.700000000000003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83"/>
      <c r="W41" s="584"/>
      <c r="X41" s="584"/>
      <c r="Y41" s="585"/>
      <c r="Z41" s="302"/>
      <c r="AA41" s="303"/>
    </row>
    <row r="42" spans="1:33" ht="72">
      <c r="A42" s="304" t="s">
        <v>137</v>
      </c>
      <c r="B42" s="294">
        <f>B40/B41</f>
        <v>28.288770053475933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2.2999999999999998</v>
      </c>
      <c r="E43" s="297"/>
      <c r="F43" s="296">
        <f>G9</f>
        <v>3</v>
      </c>
      <c r="G43" s="297"/>
      <c r="H43" s="278">
        <f>I9</f>
        <v>3</v>
      </c>
      <c r="I43" s="299"/>
      <c r="J43" s="278">
        <f>K9</f>
        <v>2</v>
      </c>
      <c r="K43" s="299"/>
      <c r="L43" s="278">
        <f>M9</f>
        <v>2</v>
      </c>
      <c r="M43" s="299"/>
      <c r="N43" s="278">
        <f>O9</f>
        <v>2.6</v>
      </c>
      <c r="O43" s="299"/>
      <c r="P43" s="311">
        <f>Q9</f>
        <v>1.8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470</v>
      </c>
      <c r="B44" s="294">
        <f>B40/B41*B43-B45</f>
        <v>-18.422459893048135</v>
      </c>
      <c r="C44" s="295"/>
      <c r="D44" s="318">
        <f>B40/B41*D43-D45</f>
        <v>-8.9358288770053633</v>
      </c>
      <c r="E44" s="319"/>
      <c r="F44" s="318">
        <f>B40/B41*F43-F45</f>
        <v>10.866310160427801</v>
      </c>
      <c r="G44" s="320"/>
      <c r="H44" s="321">
        <f>B40/B41*H43-H45</f>
        <v>19.866310160427801</v>
      </c>
      <c r="I44" s="322"/>
      <c r="J44" s="321">
        <f>B40/B41*J43-J45</f>
        <v>-2.4224598930481349</v>
      </c>
      <c r="K44" s="322"/>
      <c r="L44" s="321">
        <f>B40/B41*L43-L45</f>
        <v>-6.4224598930481349</v>
      </c>
      <c r="M44" s="322"/>
      <c r="N44" s="321">
        <f>B40/B41*N43-N45</f>
        <v>8.5508021390374296</v>
      </c>
      <c r="O44" s="322"/>
      <c r="P44" s="311">
        <f>B40/B41*P43-P45</f>
        <v>-3.0802139037433207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305</v>
      </c>
      <c r="K46" s="348">
        <v>59</v>
      </c>
      <c r="L46" s="349" t="s">
        <v>349</v>
      </c>
      <c r="M46" s="348">
        <v>63</v>
      </c>
      <c r="N46" s="349" t="s">
        <v>304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11.35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46.607929515418505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56.577540106951865</v>
      </c>
      <c r="C50" s="354"/>
      <c r="D50" s="354">
        <f>B42*D43</f>
        <v>65.064171122994637</v>
      </c>
      <c r="E50" s="354"/>
      <c r="F50" s="354">
        <f>B42*F43</f>
        <v>84.866310160427801</v>
      </c>
      <c r="G50" s="354"/>
      <c r="H50" s="359">
        <f>B42*H43</f>
        <v>84.866310160427801</v>
      </c>
      <c r="I50" s="354"/>
      <c r="J50" s="354">
        <f>B42*J43</f>
        <v>56.577540106951865</v>
      </c>
      <c r="K50" s="354"/>
      <c r="L50" s="354">
        <f>B42*L43</f>
        <v>56.577540106951865</v>
      </c>
      <c r="M50" s="354"/>
      <c r="N50" s="359">
        <f>B42*N43</f>
        <v>73.55080213903743</v>
      </c>
      <c r="O50" s="354"/>
      <c r="P50" s="354">
        <f>B42*P43</f>
        <v>50.919786096256679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1.2139037433155078</v>
      </c>
      <c r="C51" s="354"/>
      <c r="D51" s="354">
        <f>D50/B49</f>
        <v>1.3959893048128338</v>
      </c>
      <c r="E51" s="354"/>
      <c r="F51" s="354">
        <f>F50/B49</f>
        <v>1.8208556149732618</v>
      </c>
      <c r="G51" s="354"/>
      <c r="H51" s="354">
        <f>H50/B49</f>
        <v>1.8208556149732618</v>
      </c>
      <c r="I51" s="354"/>
      <c r="J51" s="354">
        <f>J50/B49</f>
        <v>1.2139037433155078</v>
      </c>
      <c r="K51" s="354"/>
      <c r="L51" s="354">
        <f>L50/B49</f>
        <v>1.2139037433155078</v>
      </c>
      <c r="M51" s="354"/>
      <c r="N51" s="359">
        <f>N50/B49</f>
        <v>1.5780748663101603</v>
      </c>
      <c r="O51" s="354"/>
      <c r="P51" s="354">
        <f>P50/B49</f>
        <v>1.092513368983957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1</v>
      </c>
      <c r="H69" s="376">
        <v>0</v>
      </c>
      <c r="I69" s="377">
        <v>0</v>
      </c>
      <c r="J69" s="376">
        <f>SUM(C69:H69)</f>
        <v>2.65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J101"/>
  <sheetViews>
    <sheetView topLeftCell="C1" zoomScale="40" zoomScaleNormal="40" workbookViewId="0">
      <selection activeCell="L14" sqref="L14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45995</v>
      </c>
      <c r="E1" s="3" t="str">
        <f>TEXT(D1, "dddd")</f>
        <v>Thursday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1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7" t="s">
        <v>33</v>
      </c>
      <c r="C3" s="448"/>
      <c r="D3" s="447" t="s">
        <v>25</v>
      </c>
      <c r="E3" s="512"/>
      <c r="F3" s="449" t="s">
        <v>198</v>
      </c>
      <c r="G3" s="450"/>
      <c r="H3" s="451" t="s">
        <v>320</v>
      </c>
      <c r="I3" s="450"/>
      <c r="J3" s="447" t="s">
        <v>297</v>
      </c>
      <c r="K3" s="450">
        <v>0.75</v>
      </c>
      <c r="L3" s="447" t="s">
        <v>27</v>
      </c>
      <c r="M3" s="450"/>
      <c r="N3" s="447" t="s">
        <v>15</v>
      </c>
      <c r="O3" s="450"/>
      <c r="P3" s="447" t="s">
        <v>28</v>
      </c>
      <c r="Q3" s="448"/>
      <c r="R3" s="586" t="s">
        <v>306</v>
      </c>
      <c r="S3" s="587"/>
      <c r="T3" s="587"/>
      <c r="U3" s="588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529" t="s">
        <v>328</v>
      </c>
      <c r="C4" s="448"/>
      <c r="D4" s="447" t="s">
        <v>34</v>
      </c>
      <c r="E4" s="450"/>
      <c r="F4" s="447" t="s">
        <v>298</v>
      </c>
      <c r="G4" s="450"/>
      <c r="H4" s="447" t="s">
        <v>301</v>
      </c>
      <c r="I4" s="450"/>
      <c r="J4" s="447" t="s">
        <v>14</v>
      </c>
      <c r="K4" s="453"/>
      <c r="L4" s="454" t="s">
        <v>307</v>
      </c>
      <c r="M4" s="450"/>
      <c r="N4" s="447" t="s">
        <v>38</v>
      </c>
      <c r="O4" s="450"/>
      <c r="P4" s="447" t="s">
        <v>50</v>
      </c>
      <c r="Q4" s="450"/>
      <c r="R4" s="33" t="s">
        <v>29</v>
      </c>
      <c r="S4" s="34"/>
      <c r="T4" s="34" t="s">
        <v>317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529"/>
      <c r="C5" s="26"/>
      <c r="D5" s="447" t="s">
        <v>23</v>
      </c>
      <c r="E5" s="449"/>
      <c r="F5" s="447" t="s">
        <v>299</v>
      </c>
      <c r="G5" s="450"/>
      <c r="H5" s="447" t="s">
        <v>37</v>
      </c>
      <c r="I5" s="449">
        <v>0.75</v>
      </c>
      <c r="J5" s="447" t="s">
        <v>26</v>
      </c>
      <c r="K5" s="450"/>
      <c r="L5" s="454"/>
      <c r="M5" s="450"/>
      <c r="N5" s="447" t="s">
        <v>326</v>
      </c>
      <c r="O5" s="450"/>
      <c r="P5" s="447"/>
      <c r="Q5" s="557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7"/>
      <c r="E6" s="556"/>
      <c r="F6" s="447"/>
      <c r="G6" s="450"/>
      <c r="H6" s="447"/>
      <c r="I6" s="449"/>
      <c r="J6" s="447"/>
      <c r="K6" s="450"/>
      <c r="L6" s="447"/>
      <c r="M6" s="448"/>
      <c r="N6" s="447"/>
      <c r="O6" s="449"/>
      <c r="P6" s="447"/>
      <c r="Q6" s="450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7"/>
      <c r="C7" s="450"/>
      <c r="D7" s="447"/>
      <c r="E7" s="450"/>
      <c r="F7" s="447"/>
      <c r="G7" s="452"/>
      <c r="H7" s="447"/>
      <c r="I7" s="450"/>
      <c r="J7" s="447"/>
      <c r="K7" s="448"/>
      <c r="L7" s="455"/>
      <c r="M7" s="448"/>
      <c r="N7" s="447"/>
      <c r="O7" s="450"/>
      <c r="P7" s="456"/>
      <c r="Q7" s="452"/>
      <c r="R7" s="402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7"/>
      <c r="C8" s="458"/>
      <c r="D8" s="457"/>
      <c r="E8" s="450"/>
      <c r="F8" s="447"/>
      <c r="G8" s="449"/>
      <c r="H8" s="447"/>
      <c r="I8" s="449"/>
      <c r="J8" s="457"/>
      <c r="K8" s="459" t="s">
        <v>45</v>
      </c>
      <c r="L8" s="460"/>
      <c r="M8" s="459"/>
      <c r="N8" s="447"/>
      <c r="O8" s="450"/>
      <c r="P8" s="457"/>
      <c r="Q8" s="461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62"/>
      <c r="C9" s="463">
        <v>2</v>
      </c>
      <c r="D9" s="464"/>
      <c r="E9" s="463">
        <v>3</v>
      </c>
      <c r="F9" s="464"/>
      <c r="G9" s="463">
        <v>3</v>
      </c>
      <c r="H9" s="465">
        <v>2.75</v>
      </c>
      <c r="I9" s="463">
        <f>H9-I11</f>
        <v>2.75</v>
      </c>
      <c r="J9" s="464"/>
      <c r="K9" s="463">
        <v>2.75</v>
      </c>
      <c r="L9" s="464">
        <v>2</v>
      </c>
      <c r="M9" s="463">
        <f>L9-M11</f>
        <v>2</v>
      </c>
      <c r="N9" s="466">
        <v>3</v>
      </c>
      <c r="O9" s="463">
        <f>N9-O11</f>
        <v>2.75</v>
      </c>
      <c r="P9" s="457">
        <v>2</v>
      </c>
      <c r="Q9" s="467">
        <f>P9-Q11</f>
        <v>1.3</v>
      </c>
      <c r="R9" s="54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8"/>
      <c r="C10" s="469"/>
      <c r="D10" s="466"/>
      <c r="E10" s="470"/>
      <c r="F10" s="471"/>
      <c r="G10" s="472"/>
      <c r="H10" s="473"/>
      <c r="I10" s="470"/>
      <c r="J10" s="468"/>
      <c r="K10" s="474"/>
      <c r="L10" s="475"/>
      <c r="M10" s="474"/>
      <c r="N10" s="447"/>
      <c r="O10" s="449"/>
      <c r="P10" s="457"/>
      <c r="Q10" s="452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6"/>
      <c r="C11" s="477"/>
      <c r="D11" s="478"/>
      <c r="E11" s="479"/>
      <c r="F11" s="480"/>
      <c r="G11" s="477"/>
      <c r="H11" s="481" t="s">
        <v>53</v>
      </c>
      <c r="I11" s="482">
        <v>0</v>
      </c>
      <c r="J11" s="480"/>
      <c r="K11" s="483"/>
      <c r="L11" s="481" t="s">
        <v>53</v>
      </c>
      <c r="M11" s="483">
        <v>0</v>
      </c>
      <c r="N11" s="481" t="s">
        <v>53</v>
      </c>
      <c r="O11" s="482">
        <v>0.25</v>
      </c>
      <c r="P11" s="480" t="s">
        <v>54</v>
      </c>
      <c r="Q11" s="484">
        <v>0.7</v>
      </c>
      <c r="R11" s="537" t="s">
        <v>319</v>
      </c>
      <c r="S11" s="446" t="s">
        <v>329</v>
      </c>
      <c r="T11" s="537" t="s">
        <v>315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9" t="s">
        <v>319</v>
      </c>
      <c r="C12" s="526" t="s">
        <v>213</v>
      </c>
      <c r="D12" s="533" t="s">
        <v>190</v>
      </c>
      <c r="E12" s="526" t="s">
        <v>59</v>
      </c>
      <c r="F12" s="552" t="s">
        <v>262</v>
      </c>
      <c r="G12" s="504" t="s">
        <v>331</v>
      </c>
      <c r="H12" s="527" t="s">
        <v>323</v>
      </c>
      <c r="I12" s="526" t="s">
        <v>59</v>
      </c>
      <c r="J12" s="527" t="s">
        <v>324</v>
      </c>
      <c r="K12" s="504" t="s">
        <v>213</v>
      </c>
      <c r="L12" s="534" t="s">
        <v>313</v>
      </c>
      <c r="M12" s="504" t="s">
        <v>213</v>
      </c>
      <c r="N12" s="528" t="s">
        <v>325</v>
      </c>
      <c r="O12" s="504" t="s">
        <v>213</v>
      </c>
      <c r="P12" s="536" t="s">
        <v>327</v>
      </c>
      <c r="Q12" s="530" t="s">
        <v>331</v>
      </c>
      <c r="R12" s="537" t="s">
        <v>190</v>
      </c>
      <c r="S12" s="537" t="s">
        <v>393</v>
      </c>
      <c r="T12" s="558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/>
      <c r="C13" s="531"/>
      <c r="D13" s="551" t="s">
        <v>67</v>
      </c>
      <c r="E13" s="531" t="s">
        <v>191</v>
      </c>
      <c r="F13" s="550" t="s">
        <v>347</v>
      </c>
      <c r="G13" s="531" t="s">
        <v>396</v>
      </c>
      <c r="H13" s="550" t="s">
        <v>347</v>
      </c>
      <c r="I13" s="531" t="s">
        <v>87</v>
      </c>
      <c r="J13" s="551" t="s">
        <v>67</v>
      </c>
      <c r="K13" s="504" t="s">
        <v>74</v>
      </c>
      <c r="L13" s="552"/>
      <c r="M13" s="505"/>
      <c r="N13" s="552" t="s">
        <v>315</v>
      </c>
      <c r="O13" s="531" t="s">
        <v>394</v>
      </c>
      <c r="P13" s="486"/>
      <c r="Q13" s="531"/>
      <c r="R13" s="445" t="s">
        <v>395</v>
      </c>
      <c r="S13" s="446" t="s">
        <v>332</v>
      </c>
      <c r="T13" s="53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1"/>
      <c r="C14" s="505"/>
      <c r="D14" s="486"/>
      <c r="E14" s="531"/>
      <c r="F14" s="486" t="s">
        <v>392</v>
      </c>
      <c r="G14" s="531" t="s">
        <v>72</v>
      </c>
      <c r="H14" s="552" t="s">
        <v>315</v>
      </c>
      <c r="I14" s="531" t="s">
        <v>72</v>
      </c>
      <c r="J14" s="550" t="s">
        <v>347</v>
      </c>
      <c r="K14" s="531" t="s">
        <v>78</v>
      </c>
      <c r="L14" s="535"/>
      <c r="N14" s="552"/>
      <c r="O14" s="531"/>
      <c r="P14" s="552"/>
      <c r="Q14" s="531"/>
      <c r="R14" s="519" t="s">
        <v>318</v>
      </c>
      <c r="S14" s="446" t="s">
        <v>314</v>
      </c>
      <c r="T14" s="524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8"/>
      <c r="C15" s="489"/>
      <c r="D15" s="486"/>
      <c r="E15" s="531"/>
      <c r="F15" s="550"/>
      <c r="G15" s="531"/>
      <c r="H15" s="552"/>
      <c r="I15" s="531"/>
      <c r="J15" s="46"/>
      <c r="L15" s="535"/>
      <c r="M15" s="531"/>
      <c r="N15" s="488"/>
      <c r="O15" s="520"/>
      <c r="P15" s="471"/>
      <c r="Q15" s="485"/>
      <c r="R15" s="445" t="s">
        <v>308</v>
      </c>
      <c r="S15" s="537" t="s">
        <v>63</v>
      </c>
      <c r="T15" s="524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13"/>
      <c r="C16" s="450"/>
      <c r="D16" s="518"/>
      <c r="E16" s="514"/>
      <c r="F16" s="513"/>
      <c r="G16" s="450"/>
      <c r="H16" s="515"/>
      <c r="I16" s="450"/>
      <c r="J16" s="486"/>
      <c r="K16" s="516"/>
      <c r="L16" s="517"/>
      <c r="M16" s="516"/>
      <c r="N16" s="513"/>
      <c r="O16" s="521"/>
      <c r="P16" s="513"/>
      <c r="Q16" s="490"/>
      <c r="R16" s="444" t="s">
        <v>65</v>
      </c>
      <c r="S16" s="546" t="s">
        <v>262</v>
      </c>
      <c r="T16" s="524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7"/>
      <c r="C17" s="491"/>
      <c r="D17" s="518" t="s">
        <v>316</v>
      </c>
      <c r="E17" s="492" t="s">
        <v>39</v>
      </c>
      <c r="F17" s="518" t="s">
        <v>316</v>
      </c>
      <c r="G17" s="493" t="s">
        <v>78</v>
      </c>
      <c r="H17" s="494"/>
      <c r="I17" s="495"/>
      <c r="J17" s="447"/>
      <c r="K17" s="449"/>
      <c r="L17" s="522"/>
      <c r="M17" s="495"/>
      <c r="N17" s="553" t="s">
        <v>315</v>
      </c>
      <c r="O17" s="495" t="s">
        <v>74</v>
      </c>
      <c r="P17" s="496" t="s">
        <v>54</v>
      </c>
      <c r="Q17" s="497">
        <v>0.4</v>
      </c>
      <c r="R17" s="589" t="s">
        <v>397</v>
      </c>
      <c r="S17" s="590"/>
      <c r="T17" s="591"/>
      <c r="U17" s="592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8">
        <f>B51</f>
        <v>1.0843989769820972</v>
      </c>
      <c r="C18" s="499"/>
      <c r="D18" s="498">
        <f>D51</f>
        <v>1.6265984654731456</v>
      </c>
      <c r="E18" s="500"/>
      <c r="F18" s="498">
        <f>F51</f>
        <v>1.6265984654731456</v>
      </c>
      <c r="G18" s="499"/>
      <c r="H18" s="498">
        <f>H51</f>
        <v>1.4910485933503834</v>
      </c>
      <c r="I18" s="499"/>
      <c r="J18" s="501">
        <f>J51</f>
        <v>1.4910485933503834</v>
      </c>
      <c r="K18" s="499"/>
      <c r="L18" s="501">
        <f>L51</f>
        <v>1.0843989769820972</v>
      </c>
      <c r="M18" s="499"/>
      <c r="N18" s="498">
        <f>N51</f>
        <v>1.4910485933503834</v>
      </c>
      <c r="O18" s="500"/>
      <c r="P18" s="502">
        <f>P51</f>
        <v>0.70485933503836318</v>
      </c>
      <c r="Q18" s="500">
        <f>P18+Q17</f>
        <v>1.1048593350383631</v>
      </c>
      <c r="R18" s="593"/>
      <c r="S18" s="594"/>
      <c r="T18" s="594"/>
      <c r="U18" s="595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10"/>
      <c r="C19" s="511"/>
      <c r="D19" s="510" t="s">
        <v>356</v>
      </c>
      <c r="E19" s="511" t="s">
        <v>398</v>
      </c>
      <c r="F19" s="550" t="s">
        <v>369</v>
      </c>
      <c r="G19" s="505" t="s">
        <v>384</v>
      </c>
      <c r="H19" s="510" t="s">
        <v>358</v>
      </c>
      <c r="I19" s="511" t="s">
        <v>401</v>
      </c>
      <c r="J19" s="528" t="s">
        <v>356</v>
      </c>
      <c r="K19" s="511" t="s">
        <v>399</v>
      </c>
      <c r="L19" s="506"/>
      <c r="M19" s="504"/>
      <c r="N19" s="503" t="s">
        <v>402</v>
      </c>
      <c r="O19" s="504" t="s">
        <v>403</v>
      </c>
      <c r="P19" s="510"/>
      <c r="Q19" s="511"/>
      <c r="R19" s="596" t="s">
        <v>90</v>
      </c>
      <c r="S19" s="597"/>
      <c r="T19" s="597"/>
      <c r="U19" s="598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4"/>
      <c r="C20" s="504"/>
      <c r="D20" s="503"/>
      <c r="E20" s="504"/>
      <c r="F20" s="509"/>
      <c r="G20" s="507"/>
      <c r="H20" s="510"/>
      <c r="I20" s="504"/>
      <c r="J20" s="503" t="s">
        <v>358</v>
      </c>
      <c r="K20" s="504" t="s">
        <v>400</v>
      </c>
      <c r="L20" s="506"/>
      <c r="M20" s="504"/>
      <c r="N20" s="503"/>
      <c r="O20" s="504"/>
      <c r="P20" s="503"/>
      <c r="Q20" s="504"/>
      <c r="R20" s="545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09"/>
      <c r="I21" s="504"/>
      <c r="J21" s="24"/>
      <c r="K21" s="160"/>
      <c r="L21" s="506"/>
      <c r="M21" s="504"/>
      <c r="N21" s="24"/>
      <c r="O21" s="107"/>
      <c r="P21" s="24"/>
      <c r="Q21" s="20"/>
      <c r="R21" s="168"/>
      <c r="S21" s="602" t="s">
        <v>93</v>
      </c>
      <c r="T21" s="602"/>
      <c r="U21" s="603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10"/>
      <c r="I22" s="107"/>
      <c r="J22" s="46"/>
      <c r="L22" s="173" t="s">
        <v>117</v>
      </c>
      <c r="M22" s="172"/>
      <c r="N22" s="503"/>
      <c r="O22" s="504"/>
      <c r="P22" s="176"/>
      <c r="Q22" s="177"/>
      <c r="R22" s="604"/>
      <c r="S22" s="605"/>
      <c r="T22" s="605"/>
      <c r="U22" s="606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07"/>
      <c r="S23" s="608"/>
      <c r="T23" s="608"/>
      <c r="U23" s="609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-20.882352941176471</v>
      </c>
      <c r="C30" s="218"/>
      <c r="D30" s="219">
        <f>D44</f>
        <v>7.1764705882352899</v>
      </c>
      <c r="E30" s="220"/>
      <c r="F30" s="221">
        <f>F44</f>
        <v>7.1764705882352899</v>
      </c>
      <c r="G30" s="221"/>
      <c r="H30" s="217">
        <f>H44</f>
        <v>9.4117647058823479</v>
      </c>
      <c r="I30" s="218"/>
      <c r="J30" s="217">
        <f>J44</f>
        <v>15.411764705882348</v>
      </c>
      <c r="K30" s="222"/>
      <c r="L30" s="217">
        <f>L44</f>
        <v>-8.882352941176471</v>
      </c>
      <c r="M30" s="222"/>
      <c r="N30" s="217">
        <f>N44</f>
        <v>9.4117647058823479</v>
      </c>
      <c r="O30" s="222"/>
      <c r="P30" s="152">
        <f>P44</f>
        <v>-18.823529411764703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16.5" customHeight="1" thickTop="1">
      <c r="A31" s="19"/>
      <c r="B31" s="529" t="s">
        <v>334</v>
      </c>
      <c r="C31" s="540" t="s">
        <v>99</v>
      </c>
      <c r="D31" s="529"/>
      <c r="E31" s="540"/>
      <c r="F31" s="541"/>
      <c r="G31" s="542"/>
      <c r="H31" s="543" t="s">
        <v>47</v>
      </c>
      <c r="I31" s="542" t="s">
        <v>242</v>
      </c>
      <c r="J31" s="529" t="s">
        <v>100</v>
      </c>
      <c r="K31" s="440" t="s">
        <v>391</v>
      </c>
      <c r="L31" s="547" t="s">
        <v>243</v>
      </c>
      <c r="M31" s="542" t="s">
        <v>99</v>
      </c>
      <c r="N31" s="442"/>
      <c r="O31" s="539"/>
      <c r="P31" s="548"/>
      <c r="Q31" s="440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84.25" customHeight="1">
      <c r="A32" s="96"/>
      <c r="B32" s="108"/>
      <c r="C32" s="107"/>
      <c r="D32" s="24"/>
      <c r="E32" s="229"/>
      <c r="F32" s="442"/>
      <c r="G32" s="229"/>
      <c r="H32" s="447" t="s">
        <v>37</v>
      </c>
      <c r="I32" s="440" t="s">
        <v>390</v>
      </c>
      <c r="J32" s="24"/>
      <c r="K32" s="229"/>
      <c r="L32" s="439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8"/>
      <c r="C33" s="107"/>
      <c r="D33" s="242"/>
      <c r="E33" s="52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321</v>
      </c>
      <c r="T33" s="232" t="s">
        <v>109</v>
      </c>
      <c r="U33" s="247" t="s">
        <v>312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80"/>
      <c r="W40" s="581"/>
      <c r="X40" s="581"/>
      <c r="Y40" s="582"/>
      <c r="Z40" s="302"/>
      <c r="AA40" s="303"/>
    </row>
    <row r="41" spans="1:33" ht="73" thickBot="1">
      <c r="A41" s="304" t="s">
        <v>136</v>
      </c>
      <c r="B41" s="305">
        <f>SUM(B43:T43)</f>
        <v>19.55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83"/>
      <c r="W41" s="584"/>
      <c r="X41" s="584"/>
      <c r="Y41" s="585"/>
      <c r="Z41" s="302"/>
      <c r="AA41" s="303"/>
    </row>
    <row r="42" spans="1:33" ht="72">
      <c r="A42" s="304" t="s">
        <v>137</v>
      </c>
      <c r="B42" s="294">
        <f>B40/B41</f>
        <v>27.058823529411764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3</v>
      </c>
      <c r="E43" s="297"/>
      <c r="F43" s="296">
        <f>G9</f>
        <v>3</v>
      </c>
      <c r="G43" s="297"/>
      <c r="H43" s="278">
        <f>I9</f>
        <v>2.75</v>
      </c>
      <c r="I43" s="299"/>
      <c r="J43" s="278">
        <f>K9</f>
        <v>2.75</v>
      </c>
      <c r="K43" s="299"/>
      <c r="L43" s="278">
        <f>M9</f>
        <v>2</v>
      </c>
      <c r="M43" s="299"/>
      <c r="N43" s="278">
        <f>O9</f>
        <v>2.75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-20.882352941176471</v>
      </c>
      <c r="C44" s="295"/>
      <c r="D44" s="318">
        <f>B40/B41*D43-D45</f>
        <v>7.1764705882352899</v>
      </c>
      <c r="E44" s="319"/>
      <c r="F44" s="318">
        <f>B40/B41*F43-F45</f>
        <v>7.1764705882352899</v>
      </c>
      <c r="G44" s="320"/>
      <c r="H44" s="321">
        <f>B40/B41*H43-H45</f>
        <v>9.4117647058823479</v>
      </c>
      <c r="I44" s="322"/>
      <c r="J44" s="321">
        <f>B40/B41*J43-J45</f>
        <v>15.411764705882348</v>
      </c>
      <c r="K44" s="322"/>
      <c r="L44" s="321">
        <f>B40/B41*L43-L45</f>
        <v>-8.882352941176471</v>
      </c>
      <c r="M44" s="322"/>
      <c r="N44" s="321">
        <f>B40/B41*N43-N45</f>
        <v>9.4117647058823479</v>
      </c>
      <c r="O44" s="322"/>
      <c r="P44" s="311">
        <f>B40/B41*P43-P45</f>
        <v>-18.823529411764703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305</v>
      </c>
      <c r="K46" s="348">
        <v>59</v>
      </c>
      <c r="L46" s="349" t="s">
        <v>349</v>
      </c>
      <c r="M46" s="348">
        <v>63</v>
      </c>
      <c r="N46" s="349" t="s">
        <v>304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10.6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49.905660377358494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54.117647058823529</v>
      </c>
      <c r="C50" s="354"/>
      <c r="D50" s="354">
        <f>B42*D43</f>
        <v>81.17647058823529</v>
      </c>
      <c r="E50" s="354"/>
      <c r="F50" s="354">
        <f>B42*F43</f>
        <v>81.17647058823529</v>
      </c>
      <c r="G50" s="354"/>
      <c r="H50" s="359">
        <f>B42*H43</f>
        <v>74.411764705882348</v>
      </c>
      <c r="I50" s="354"/>
      <c r="J50" s="354">
        <f>B42*J43</f>
        <v>74.411764705882348</v>
      </c>
      <c r="K50" s="354"/>
      <c r="L50" s="354">
        <f>B42*L43</f>
        <v>54.117647058823529</v>
      </c>
      <c r="M50" s="354"/>
      <c r="N50" s="359">
        <f>B42*N43</f>
        <v>74.411764705882348</v>
      </c>
      <c r="O50" s="354"/>
      <c r="P50" s="354">
        <f>B42*P43</f>
        <v>35.176470588235297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1.0843989769820972</v>
      </c>
      <c r="C51" s="354"/>
      <c r="D51" s="354">
        <f>D50/B49</f>
        <v>1.6265984654731456</v>
      </c>
      <c r="E51" s="354"/>
      <c r="F51" s="354">
        <f>F50/B49</f>
        <v>1.6265984654731456</v>
      </c>
      <c r="G51" s="354"/>
      <c r="H51" s="354">
        <f>H50/B49</f>
        <v>1.4910485933503834</v>
      </c>
      <c r="I51" s="354"/>
      <c r="J51" s="354">
        <f>J50/B49</f>
        <v>1.4910485933503834</v>
      </c>
      <c r="K51" s="354"/>
      <c r="L51" s="354">
        <f>L50/B49</f>
        <v>1.0843989769820972</v>
      </c>
      <c r="M51" s="354"/>
      <c r="N51" s="359">
        <f>N50/B49</f>
        <v>1.4910485933503834</v>
      </c>
      <c r="O51" s="354"/>
      <c r="P51" s="354">
        <f>P50/B49</f>
        <v>0.70485933503836318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2</v>
      </c>
      <c r="H69" s="376">
        <v>0</v>
      </c>
      <c r="I69" s="377">
        <v>0</v>
      </c>
      <c r="J69" s="376">
        <f>SUM(C69:H69)</f>
        <v>3.4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J101"/>
  <sheetViews>
    <sheetView topLeftCell="A3" zoomScale="30" zoomScaleNormal="30" workbookViewId="0">
      <selection activeCell="U6" sqref="U6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45996</v>
      </c>
      <c r="E1" s="3" t="str">
        <f>TEXT(D1, "dddd")</f>
        <v>Friday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4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7" t="s">
        <v>33</v>
      </c>
      <c r="C3" s="448"/>
      <c r="D3" s="447" t="s">
        <v>25</v>
      </c>
      <c r="E3" s="512"/>
      <c r="F3" s="449" t="s">
        <v>198</v>
      </c>
      <c r="G3" s="450"/>
      <c r="H3" s="447" t="s">
        <v>410</v>
      </c>
      <c r="I3" s="561" t="s">
        <v>409</v>
      </c>
      <c r="J3" s="447" t="s">
        <v>297</v>
      </c>
      <c r="K3" s="450"/>
      <c r="L3" s="454" t="s">
        <v>27</v>
      </c>
      <c r="M3" s="450"/>
      <c r="N3" s="447" t="s">
        <v>15</v>
      </c>
      <c r="O3" s="450"/>
      <c r="P3" s="447" t="s">
        <v>28</v>
      </c>
      <c r="Q3" s="448"/>
      <c r="R3" s="586" t="s">
        <v>306</v>
      </c>
      <c r="S3" s="587"/>
      <c r="T3" s="587"/>
      <c r="U3" s="588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529" t="s">
        <v>328</v>
      </c>
      <c r="C4" s="448"/>
      <c r="D4" s="447" t="s">
        <v>34</v>
      </c>
      <c r="E4" s="450"/>
      <c r="F4" s="447" t="s">
        <v>298</v>
      </c>
      <c r="G4" s="450"/>
      <c r="H4" s="447" t="s">
        <v>320</v>
      </c>
      <c r="I4" s="450"/>
      <c r="J4" s="447" t="s">
        <v>14</v>
      </c>
      <c r="K4" s="453"/>
      <c r="L4" s="454" t="s">
        <v>408</v>
      </c>
      <c r="M4" s="450"/>
      <c r="N4" s="447" t="s">
        <v>38</v>
      </c>
      <c r="O4" s="450"/>
      <c r="P4" s="447" t="s">
        <v>50</v>
      </c>
      <c r="Q4" s="450"/>
      <c r="R4" s="33" t="s">
        <v>29</v>
      </c>
      <c r="S4" s="34"/>
      <c r="T4" s="34" t="s">
        <v>485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529"/>
      <c r="C5" s="26"/>
      <c r="D5" s="447" t="s">
        <v>23</v>
      </c>
      <c r="E5" s="449"/>
      <c r="F5" s="447" t="s">
        <v>299</v>
      </c>
      <c r="G5" s="450"/>
      <c r="H5" s="447" t="s">
        <v>301</v>
      </c>
      <c r="I5" s="449"/>
      <c r="J5" s="447" t="s">
        <v>26</v>
      </c>
      <c r="K5" s="450" t="s">
        <v>36</v>
      </c>
      <c r="L5" s="454"/>
      <c r="M5" s="450"/>
      <c r="N5" s="447" t="s">
        <v>326</v>
      </c>
      <c r="O5" s="450"/>
      <c r="P5" s="447" t="s">
        <v>406</v>
      </c>
      <c r="Q5" s="560" t="s">
        <v>407</v>
      </c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7"/>
      <c r="E6" s="556"/>
      <c r="F6" s="447"/>
      <c r="G6" s="450"/>
      <c r="H6" s="447"/>
      <c r="I6" s="449"/>
      <c r="J6" s="447"/>
      <c r="K6" s="450"/>
      <c r="L6" s="447"/>
      <c r="M6" s="448"/>
      <c r="N6" s="447"/>
      <c r="O6" s="449"/>
      <c r="P6" s="447"/>
      <c r="Q6" s="450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7"/>
      <c r="C7" s="450"/>
      <c r="D7" s="447"/>
      <c r="E7" s="450"/>
      <c r="F7" s="447"/>
      <c r="G7" s="452"/>
      <c r="H7" s="447"/>
      <c r="I7" s="450"/>
      <c r="J7" s="447"/>
      <c r="K7" s="448"/>
      <c r="L7" s="455"/>
      <c r="M7" s="448"/>
      <c r="N7" s="447"/>
      <c r="O7" s="450"/>
      <c r="P7" s="456"/>
      <c r="Q7" s="452"/>
      <c r="R7" s="402" t="s">
        <v>246</v>
      </c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7"/>
      <c r="C8" s="458"/>
      <c r="D8" s="457"/>
      <c r="E8" s="450"/>
      <c r="F8" s="447"/>
      <c r="G8" s="449"/>
      <c r="H8" s="447"/>
      <c r="I8" s="449"/>
      <c r="J8" s="457"/>
      <c r="K8" s="459" t="s">
        <v>45</v>
      </c>
      <c r="L8" s="460"/>
      <c r="M8" s="459"/>
      <c r="N8" s="447"/>
      <c r="O8" s="450"/>
      <c r="P8" s="457"/>
      <c r="Q8" s="461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62"/>
      <c r="C9" s="463">
        <v>2</v>
      </c>
      <c r="D9" s="464"/>
      <c r="E9" s="463">
        <v>3</v>
      </c>
      <c r="F9" s="464"/>
      <c r="G9" s="463">
        <v>3</v>
      </c>
      <c r="H9" s="465">
        <v>2.5</v>
      </c>
      <c r="I9" s="463">
        <f>H9-I11</f>
        <v>2.5</v>
      </c>
      <c r="J9" s="464"/>
      <c r="K9" s="463">
        <v>2.5</v>
      </c>
      <c r="L9" s="464">
        <v>2</v>
      </c>
      <c r="M9" s="463">
        <f>L9-M11</f>
        <v>2</v>
      </c>
      <c r="N9" s="466">
        <v>3</v>
      </c>
      <c r="O9" s="463">
        <f>N9-O11</f>
        <v>2.6</v>
      </c>
      <c r="P9" s="457">
        <v>2.25</v>
      </c>
      <c r="Q9" s="467">
        <f>P9-Q11</f>
        <v>1.55</v>
      </c>
      <c r="R9" s="54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8"/>
      <c r="C10" s="469"/>
      <c r="D10" s="466"/>
      <c r="E10" s="470"/>
      <c r="F10" s="471"/>
      <c r="G10" s="472"/>
      <c r="H10" s="473"/>
      <c r="I10" s="470"/>
      <c r="J10" s="468"/>
      <c r="K10" s="474"/>
      <c r="L10" s="475"/>
      <c r="M10" s="474"/>
      <c r="N10" s="447"/>
      <c r="O10" s="449"/>
      <c r="P10" s="457"/>
      <c r="Q10" s="452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6"/>
      <c r="C11" s="477"/>
      <c r="D11" s="478"/>
      <c r="E11" s="479"/>
      <c r="F11" s="480"/>
      <c r="G11" s="477"/>
      <c r="H11" s="481" t="s">
        <v>53</v>
      </c>
      <c r="I11" s="482">
        <v>0</v>
      </c>
      <c r="J11" s="480"/>
      <c r="K11" s="483"/>
      <c r="L11" s="481" t="s">
        <v>53</v>
      </c>
      <c r="M11" s="483">
        <v>0</v>
      </c>
      <c r="N11" s="481" t="s">
        <v>53</v>
      </c>
      <c r="O11" s="482">
        <v>0.4</v>
      </c>
      <c r="P11" s="480" t="s">
        <v>54</v>
      </c>
      <c r="Q11" s="484">
        <v>0.7</v>
      </c>
      <c r="R11" s="537" t="s">
        <v>319</v>
      </c>
      <c r="S11" s="559" t="s">
        <v>329</v>
      </c>
      <c r="T11" s="537" t="s">
        <v>315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9" t="s">
        <v>319</v>
      </c>
      <c r="C12" s="526" t="s">
        <v>213</v>
      </c>
      <c r="D12" s="533" t="s">
        <v>190</v>
      </c>
      <c r="E12" s="526" t="s">
        <v>59</v>
      </c>
      <c r="F12" s="552" t="s">
        <v>262</v>
      </c>
      <c r="G12" s="504" t="s">
        <v>331</v>
      </c>
      <c r="H12" s="527" t="s">
        <v>323</v>
      </c>
      <c r="I12" s="526" t="s">
        <v>59</v>
      </c>
      <c r="J12" s="527" t="s">
        <v>324</v>
      </c>
      <c r="K12" s="504" t="s">
        <v>39</v>
      </c>
      <c r="L12" s="534" t="s">
        <v>313</v>
      </c>
      <c r="M12" s="504" t="s">
        <v>213</v>
      </c>
      <c r="N12" s="528" t="s">
        <v>325</v>
      </c>
      <c r="O12" s="504" t="s">
        <v>213</v>
      </c>
      <c r="P12" s="536" t="s">
        <v>327</v>
      </c>
      <c r="Q12" s="530" t="s">
        <v>331</v>
      </c>
      <c r="R12" s="537" t="s">
        <v>190</v>
      </c>
      <c r="S12" s="537" t="s">
        <v>412</v>
      </c>
      <c r="T12" s="444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/>
      <c r="C13" s="531"/>
      <c r="D13" s="486" t="s">
        <v>392</v>
      </c>
      <c r="E13" s="531" t="s">
        <v>411</v>
      </c>
      <c r="F13" s="550" t="s">
        <v>347</v>
      </c>
      <c r="G13" s="531" t="s">
        <v>87</v>
      </c>
      <c r="H13" s="552" t="s">
        <v>315</v>
      </c>
      <c r="I13" s="531" t="s">
        <v>87</v>
      </c>
      <c r="J13" s="550" t="s">
        <v>347</v>
      </c>
      <c r="K13" s="504" t="s">
        <v>36</v>
      </c>
      <c r="L13" s="552"/>
      <c r="M13" s="531"/>
      <c r="N13" s="552" t="s">
        <v>315</v>
      </c>
      <c r="O13" s="531" t="s">
        <v>78</v>
      </c>
      <c r="P13" s="552" t="s">
        <v>315</v>
      </c>
      <c r="Q13" s="531" t="s">
        <v>413</v>
      </c>
      <c r="R13" s="445" t="s">
        <v>395</v>
      </c>
      <c r="S13" s="446" t="s">
        <v>332</v>
      </c>
      <c r="T13" s="53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1"/>
      <c r="C14" s="505"/>
      <c r="D14" s="563" t="s">
        <v>415</v>
      </c>
      <c r="E14" s="531" t="s">
        <v>78</v>
      </c>
      <c r="F14" s="486" t="s">
        <v>415</v>
      </c>
      <c r="G14" s="531" t="s">
        <v>72</v>
      </c>
      <c r="H14" s="552"/>
      <c r="I14" s="531"/>
      <c r="J14" s="563" t="s">
        <v>415</v>
      </c>
      <c r="K14" s="531" t="s">
        <v>39</v>
      </c>
      <c r="L14" s="535"/>
      <c r="N14" s="550" t="s">
        <v>347</v>
      </c>
      <c r="O14" s="531" t="s">
        <v>74</v>
      </c>
      <c r="P14" s="552"/>
      <c r="Q14" s="531"/>
      <c r="R14" s="519" t="s">
        <v>318</v>
      </c>
      <c r="S14" s="446" t="s">
        <v>314</v>
      </c>
      <c r="T14" s="524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8"/>
      <c r="C15" s="489"/>
      <c r="D15" s="486"/>
      <c r="E15" s="531"/>
      <c r="F15" s="486"/>
      <c r="G15" s="531"/>
      <c r="H15" s="486"/>
      <c r="I15" s="531"/>
      <c r="J15" s="551"/>
      <c r="K15" s="504"/>
      <c r="L15" s="535"/>
      <c r="M15" s="531"/>
      <c r="N15" s="488"/>
      <c r="O15" s="520"/>
      <c r="P15" s="471"/>
      <c r="Q15" s="485"/>
      <c r="R15" s="445" t="s">
        <v>308</v>
      </c>
      <c r="S15" s="537" t="s">
        <v>405</v>
      </c>
      <c r="T15" s="524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13"/>
      <c r="C16" s="450"/>
      <c r="D16" s="518"/>
      <c r="E16" s="514"/>
      <c r="F16" s="513"/>
      <c r="G16" s="450"/>
      <c r="H16" s="515"/>
      <c r="I16" s="450"/>
      <c r="J16" s="550"/>
      <c r="K16" s="531"/>
      <c r="L16" s="517"/>
      <c r="M16" s="516"/>
      <c r="N16" s="513"/>
      <c r="O16" s="521"/>
      <c r="P16" s="513"/>
      <c r="Q16" s="490"/>
      <c r="R16" s="444" t="s">
        <v>65</v>
      </c>
      <c r="S16" s="555" t="s">
        <v>262</v>
      </c>
      <c r="T16" s="524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7"/>
      <c r="C17" s="491"/>
      <c r="D17" s="518" t="s">
        <v>316</v>
      </c>
      <c r="E17" s="492" t="s">
        <v>74</v>
      </c>
      <c r="F17" s="518" t="s">
        <v>316</v>
      </c>
      <c r="G17" s="493" t="s">
        <v>36</v>
      </c>
      <c r="H17" s="494"/>
      <c r="I17" s="495"/>
      <c r="J17" s="447"/>
      <c r="K17" s="449"/>
      <c r="L17" s="522"/>
      <c r="M17" s="495"/>
      <c r="N17" s="553" t="s">
        <v>315</v>
      </c>
      <c r="O17" s="495" t="s">
        <v>74</v>
      </c>
      <c r="P17" s="496" t="s">
        <v>54</v>
      </c>
      <c r="Q17" s="497">
        <v>0.4</v>
      </c>
      <c r="R17" s="589" t="s">
        <v>404</v>
      </c>
      <c r="S17" s="590"/>
      <c r="T17" s="591"/>
      <c r="U17" s="592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8">
        <f>B51</f>
        <v>1.054830287206266</v>
      </c>
      <c r="C18" s="499"/>
      <c r="D18" s="498">
        <f>D51</f>
        <v>1.5822454308093994</v>
      </c>
      <c r="E18" s="500"/>
      <c r="F18" s="498">
        <f>F51</f>
        <v>1.5822454308093994</v>
      </c>
      <c r="G18" s="499"/>
      <c r="H18" s="498">
        <f>H51</f>
        <v>1.3185378590078327</v>
      </c>
      <c r="I18" s="499"/>
      <c r="J18" s="501">
        <f>J51</f>
        <v>1.3185378590078327</v>
      </c>
      <c r="K18" s="499"/>
      <c r="L18" s="501">
        <f>L51</f>
        <v>1.054830287206266</v>
      </c>
      <c r="M18" s="499"/>
      <c r="N18" s="498">
        <f>N51</f>
        <v>1.3712793733681459</v>
      </c>
      <c r="O18" s="500"/>
      <c r="P18" s="502">
        <f>P51</f>
        <v>0.81749347258485627</v>
      </c>
      <c r="Q18" s="500">
        <f>P18+Q17</f>
        <v>1.2174934725848563</v>
      </c>
      <c r="R18" s="593"/>
      <c r="S18" s="594"/>
      <c r="T18" s="594"/>
      <c r="U18" s="595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10"/>
      <c r="C19" s="511"/>
      <c r="D19" s="510" t="s">
        <v>369</v>
      </c>
      <c r="E19" s="511" t="s">
        <v>420</v>
      </c>
      <c r="F19" s="550" t="s">
        <v>358</v>
      </c>
      <c r="G19" s="505" t="s">
        <v>417</v>
      </c>
      <c r="H19" s="562" t="s">
        <v>358</v>
      </c>
      <c r="I19" s="511" t="s">
        <v>416</v>
      </c>
      <c r="J19" s="528" t="s">
        <v>356</v>
      </c>
      <c r="K19" s="511" t="s">
        <v>419</v>
      </c>
      <c r="L19" s="506"/>
      <c r="M19" s="504"/>
      <c r="N19" s="562" t="s">
        <v>388</v>
      </c>
      <c r="O19" s="504" t="s">
        <v>418</v>
      </c>
      <c r="P19" s="510"/>
      <c r="Q19" s="511"/>
      <c r="R19" s="596" t="s">
        <v>90</v>
      </c>
      <c r="S19" s="597"/>
      <c r="T19" s="597"/>
      <c r="U19" s="598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4"/>
      <c r="C20" s="504"/>
      <c r="D20" s="503"/>
      <c r="E20" s="504"/>
      <c r="F20" s="509"/>
      <c r="G20" s="507"/>
      <c r="H20" s="510" t="s">
        <v>422</v>
      </c>
      <c r="I20" s="504" t="s">
        <v>421</v>
      </c>
      <c r="J20" s="503"/>
      <c r="K20" s="504"/>
      <c r="L20" s="506"/>
      <c r="M20" s="504"/>
      <c r="N20" s="503"/>
      <c r="O20" s="504"/>
      <c r="P20" s="503"/>
      <c r="Q20" s="504"/>
      <c r="R20" s="545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09"/>
      <c r="I21" s="504"/>
      <c r="J21" s="529"/>
      <c r="K21" s="507"/>
      <c r="L21" s="506"/>
      <c r="M21" s="504"/>
      <c r="N21" s="24"/>
      <c r="O21" s="107"/>
      <c r="P21" s="24"/>
      <c r="Q21" s="20"/>
      <c r="R21" s="168"/>
      <c r="S21" s="602" t="s">
        <v>93</v>
      </c>
      <c r="T21" s="602"/>
      <c r="U21" s="603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10"/>
      <c r="I22" s="107"/>
      <c r="J22" s="46"/>
      <c r="L22" s="173" t="s">
        <v>117</v>
      </c>
      <c r="M22" s="172"/>
      <c r="N22" s="503"/>
      <c r="O22" s="504"/>
      <c r="P22" s="176"/>
      <c r="Q22" s="177"/>
      <c r="R22" s="604"/>
      <c r="S22" s="605"/>
      <c r="T22" s="605"/>
      <c r="U22" s="606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07"/>
      <c r="S23" s="608"/>
      <c r="T23" s="608"/>
      <c r="U23" s="609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-19.751958224543088</v>
      </c>
      <c r="C30" s="218"/>
      <c r="D30" s="219">
        <f>D44</f>
        <v>8.8720626631853747</v>
      </c>
      <c r="E30" s="220"/>
      <c r="F30" s="221">
        <f>F44</f>
        <v>8.8720626631853747</v>
      </c>
      <c r="G30" s="221"/>
      <c r="H30" s="217">
        <f>H44</f>
        <v>4.0600522193211361</v>
      </c>
      <c r="I30" s="218"/>
      <c r="J30" s="217">
        <f>J44</f>
        <v>10.060052219321136</v>
      </c>
      <c r="K30" s="222"/>
      <c r="L30" s="217">
        <f>L44</f>
        <v>-7.7519582245430882</v>
      </c>
      <c r="M30" s="222"/>
      <c r="N30" s="217">
        <f>N44</f>
        <v>6.822454308093981</v>
      </c>
      <c r="O30" s="222"/>
      <c r="P30" s="152">
        <f>P44</f>
        <v>-11.18276762402089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16.5" customHeight="1" thickTop="1">
      <c r="A31" s="19"/>
      <c r="B31" s="529" t="s">
        <v>334</v>
      </c>
      <c r="C31" s="540" t="s">
        <v>99</v>
      </c>
      <c r="D31" s="529"/>
      <c r="E31" s="540"/>
      <c r="F31" s="541"/>
      <c r="G31" s="542"/>
      <c r="H31" s="543" t="s">
        <v>47</v>
      </c>
      <c r="I31" s="542" t="s">
        <v>242</v>
      </c>
      <c r="J31" s="529" t="s">
        <v>26</v>
      </c>
      <c r="K31" s="440" t="s">
        <v>414</v>
      </c>
      <c r="L31" s="547" t="s">
        <v>243</v>
      </c>
      <c r="M31" s="542" t="s">
        <v>99</v>
      </c>
      <c r="N31" s="442"/>
      <c r="O31" s="539"/>
      <c r="P31" s="548"/>
      <c r="Q31" s="440"/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84.25" customHeight="1">
      <c r="A32" s="96"/>
      <c r="B32" s="108"/>
      <c r="C32" s="107"/>
      <c r="D32" s="24"/>
      <c r="E32" s="229"/>
      <c r="F32" s="442"/>
      <c r="G32" s="229"/>
      <c r="H32" s="447" t="s">
        <v>37</v>
      </c>
      <c r="I32" s="540" t="s">
        <v>99</v>
      </c>
      <c r="J32" s="24"/>
      <c r="K32" s="229"/>
      <c r="L32" s="439"/>
      <c r="M32" s="229"/>
      <c r="N32" s="46"/>
      <c r="P32" s="24"/>
      <c r="Q32" s="243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8"/>
      <c r="C33" s="107"/>
      <c r="D33" s="242"/>
      <c r="E33" s="52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321</v>
      </c>
      <c r="T33" s="232" t="s">
        <v>109</v>
      </c>
      <c r="U33" s="247" t="s">
        <v>312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80"/>
      <c r="W40" s="581"/>
      <c r="X40" s="581"/>
      <c r="Y40" s="582"/>
      <c r="Z40" s="302"/>
      <c r="AA40" s="303"/>
    </row>
    <row r="41" spans="1:33" ht="73" thickBot="1">
      <c r="A41" s="304" t="s">
        <v>136</v>
      </c>
      <c r="B41" s="305">
        <f>SUM(B43:T43)</f>
        <v>19.150000000000002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83"/>
      <c r="W41" s="584"/>
      <c r="X41" s="584"/>
      <c r="Y41" s="585"/>
      <c r="Z41" s="302"/>
      <c r="AA41" s="303"/>
    </row>
    <row r="42" spans="1:33" ht="72">
      <c r="A42" s="304" t="s">
        <v>137</v>
      </c>
      <c r="B42" s="294">
        <f>B40/B41</f>
        <v>27.624020887728456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</v>
      </c>
      <c r="C43" s="295"/>
      <c r="D43" s="296">
        <f>E9</f>
        <v>3</v>
      </c>
      <c r="E43" s="297"/>
      <c r="F43" s="296">
        <f>G9</f>
        <v>3</v>
      </c>
      <c r="G43" s="297"/>
      <c r="H43" s="278">
        <f>I9</f>
        <v>2.5</v>
      </c>
      <c r="I43" s="299"/>
      <c r="J43" s="278">
        <f>K9</f>
        <v>2.5</v>
      </c>
      <c r="K43" s="299"/>
      <c r="L43" s="278">
        <f>M9</f>
        <v>2</v>
      </c>
      <c r="M43" s="299"/>
      <c r="N43" s="278">
        <f>O9</f>
        <v>2.6</v>
      </c>
      <c r="O43" s="299"/>
      <c r="P43" s="311">
        <f>Q9</f>
        <v>1.55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-19.751958224543088</v>
      </c>
      <c r="C44" s="295"/>
      <c r="D44" s="318">
        <f>B40/B41*D43-D45</f>
        <v>8.8720626631853747</v>
      </c>
      <c r="E44" s="319"/>
      <c r="F44" s="318">
        <f>B40/B41*F43-F45</f>
        <v>8.8720626631853747</v>
      </c>
      <c r="G44" s="320"/>
      <c r="H44" s="321">
        <f>B40/B41*H43-H45</f>
        <v>4.0600522193211361</v>
      </c>
      <c r="I44" s="322"/>
      <c r="J44" s="321">
        <f>B40/B41*J43-J45</f>
        <v>10.060052219321136</v>
      </c>
      <c r="K44" s="322"/>
      <c r="L44" s="321">
        <f>B40/B41*L43-L45</f>
        <v>-7.7519582245430882</v>
      </c>
      <c r="M44" s="322"/>
      <c r="N44" s="321">
        <f>B40/B41*N43-N45</f>
        <v>6.822454308093981</v>
      </c>
      <c r="O44" s="322"/>
      <c r="P44" s="311">
        <f>B40/B41*P43-P45</f>
        <v>-11.18276762402089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305</v>
      </c>
      <c r="K46" s="348">
        <v>59</v>
      </c>
      <c r="L46" s="349" t="s">
        <v>349</v>
      </c>
      <c r="M46" s="348">
        <v>63</v>
      </c>
      <c r="N46" s="349" t="s">
        <v>304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10.1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52.376237623762378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55.248041775456912</v>
      </c>
      <c r="C50" s="354"/>
      <c r="D50" s="354">
        <f>B42*D43</f>
        <v>82.872062663185375</v>
      </c>
      <c r="E50" s="354"/>
      <c r="F50" s="354">
        <f>B42*F43</f>
        <v>82.872062663185375</v>
      </c>
      <c r="G50" s="354"/>
      <c r="H50" s="359">
        <f>B42*H43</f>
        <v>69.060052219321136</v>
      </c>
      <c r="I50" s="354"/>
      <c r="J50" s="354">
        <f>B42*J43</f>
        <v>69.060052219321136</v>
      </c>
      <c r="K50" s="354"/>
      <c r="L50" s="354">
        <f>B42*L43</f>
        <v>55.248041775456912</v>
      </c>
      <c r="M50" s="354"/>
      <c r="N50" s="359">
        <f>B42*N43</f>
        <v>71.822454308093981</v>
      </c>
      <c r="O50" s="354"/>
      <c r="P50" s="354">
        <f>B42*P43</f>
        <v>42.81723237597911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1.054830287206266</v>
      </c>
      <c r="C51" s="354"/>
      <c r="D51" s="354">
        <f>D50/B49</f>
        <v>1.5822454308093994</v>
      </c>
      <c r="E51" s="354"/>
      <c r="F51" s="354">
        <f>F50/B49</f>
        <v>1.5822454308093994</v>
      </c>
      <c r="G51" s="354"/>
      <c r="H51" s="354">
        <f>H50/B49</f>
        <v>1.3185378590078327</v>
      </c>
      <c r="I51" s="354"/>
      <c r="J51" s="354">
        <f>J50/B49</f>
        <v>1.3185378590078327</v>
      </c>
      <c r="K51" s="354"/>
      <c r="L51" s="354">
        <f>L50/B49</f>
        <v>1.054830287206266</v>
      </c>
      <c r="M51" s="354"/>
      <c r="N51" s="359">
        <f>N50/B49</f>
        <v>1.3712793733681459</v>
      </c>
      <c r="O51" s="354"/>
      <c r="P51" s="354">
        <f>P50/B49</f>
        <v>0.81749347258485627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0.75</v>
      </c>
      <c r="D69" s="376" t="s">
        <v>178</v>
      </c>
      <c r="E69" s="376">
        <v>0.25</v>
      </c>
      <c r="F69" s="376">
        <f>Q17</f>
        <v>0.4</v>
      </c>
      <c r="G69" s="380">
        <v>2.5</v>
      </c>
      <c r="H69" s="376">
        <v>0</v>
      </c>
      <c r="I69" s="377">
        <v>0</v>
      </c>
      <c r="J69" s="376">
        <f>SUM(C69:H69)</f>
        <v>3.9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J101"/>
  <sheetViews>
    <sheetView topLeftCell="C1" zoomScale="50" zoomScaleNormal="50" workbookViewId="0">
      <selection activeCell="A8" sqref="A8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45999</v>
      </c>
      <c r="E1" s="3" t="str">
        <f>TEXT(D1, "dddd")</f>
        <v>Monday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4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7" t="s">
        <v>334</v>
      </c>
      <c r="C3" s="448"/>
      <c r="D3" s="447" t="s">
        <v>34</v>
      </c>
      <c r="E3" s="512"/>
      <c r="F3" s="449" t="s">
        <v>198</v>
      </c>
      <c r="G3" s="450"/>
      <c r="H3" s="447" t="s">
        <v>13</v>
      </c>
      <c r="I3" s="450" t="s">
        <v>188</v>
      </c>
      <c r="J3" s="447" t="s">
        <v>297</v>
      </c>
      <c r="K3" s="450"/>
      <c r="L3" s="454" t="s">
        <v>243</v>
      </c>
      <c r="M3" s="450"/>
      <c r="N3" s="447" t="s">
        <v>38</v>
      </c>
      <c r="O3" s="450"/>
      <c r="P3" s="447" t="s">
        <v>28</v>
      </c>
      <c r="Q3" s="448"/>
      <c r="R3" s="586" t="s">
        <v>306</v>
      </c>
      <c r="S3" s="587"/>
      <c r="T3" s="587"/>
      <c r="U3" s="588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7" t="s">
        <v>33</v>
      </c>
      <c r="C4" s="448"/>
      <c r="D4" s="447" t="s">
        <v>23</v>
      </c>
      <c r="E4" s="450"/>
      <c r="F4" s="447" t="s">
        <v>298</v>
      </c>
      <c r="G4" s="450"/>
      <c r="H4" s="447" t="s">
        <v>37</v>
      </c>
      <c r="I4" s="450"/>
      <c r="J4" s="447" t="s">
        <v>14</v>
      </c>
      <c r="K4" s="453"/>
      <c r="L4" s="454" t="s">
        <v>27</v>
      </c>
      <c r="M4" s="450"/>
      <c r="N4" s="447" t="s">
        <v>326</v>
      </c>
      <c r="O4" s="450"/>
      <c r="P4" s="447" t="s">
        <v>32</v>
      </c>
      <c r="Q4" s="450"/>
      <c r="R4" s="33" t="s">
        <v>29</v>
      </c>
      <c r="S4" s="34"/>
      <c r="T4" s="34" t="s">
        <v>317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7" t="s">
        <v>328</v>
      </c>
      <c r="C5" s="26"/>
      <c r="D5" s="447"/>
      <c r="E5" s="449"/>
      <c r="F5" s="447"/>
      <c r="G5" s="450"/>
      <c r="H5" s="447" t="s">
        <v>301</v>
      </c>
      <c r="I5" s="449"/>
      <c r="J5" s="447" t="s">
        <v>26</v>
      </c>
      <c r="K5" s="450"/>
      <c r="L5" s="454" t="s">
        <v>307</v>
      </c>
      <c r="M5" s="450"/>
      <c r="N5" s="447"/>
      <c r="O5" s="450"/>
      <c r="P5" s="447" t="s">
        <v>42</v>
      </c>
      <c r="Q5" s="448" t="s">
        <v>188</v>
      </c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7"/>
      <c r="E6" s="556"/>
      <c r="F6" s="447"/>
      <c r="G6" s="450"/>
      <c r="H6" s="447"/>
      <c r="I6" s="449"/>
      <c r="J6" s="447"/>
      <c r="K6" s="450"/>
      <c r="L6" s="447"/>
      <c r="M6" s="448"/>
      <c r="N6" s="447"/>
      <c r="O6" s="449"/>
      <c r="P6" s="447"/>
      <c r="Q6" s="450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7"/>
      <c r="C7" s="450"/>
      <c r="D7" s="447"/>
      <c r="E7" s="450"/>
      <c r="F7" s="447"/>
      <c r="G7" s="452"/>
      <c r="H7" s="447"/>
      <c r="I7" s="450"/>
      <c r="J7" s="447"/>
      <c r="K7" s="448"/>
      <c r="L7" s="455"/>
      <c r="M7" s="448"/>
      <c r="N7" s="447"/>
      <c r="O7" s="450"/>
      <c r="P7" s="456"/>
      <c r="Q7" s="452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7"/>
      <c r="C8" s="458"/>
      <c r="D8" s="457"/>
      <c r="E8" s="450"/>
      <c r="F8" s="447"/>
      <c r="G8" s="449"/>
      <c r="H8" s="447"/>
      <c r="I8" s="449"/>
      <c r="J8" s="457"/>
      <c r="K8" s="459" t="s">
        <v>45</v>
      </c>
      <c r="L8" s="460"/>
      <c r="M8" s="459"/>
      <c r="N8" s="447"/>
      <c r="O8" s="450"/>
      <c r="P8" s="457"/>
      <c r="Q8" s="461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62"/>
      <c r="C9" s="463">
        <v>3</v>
      </c>
      <c r="D9" s="464"/>
      <c r="E9" s="463">
        <v>2</v>
      </c>
      <c r="F9" s="464"/>
      <c r="G9" s="463">
        <v>2</v>
      </c>
      <c r="H9" s="465">
        <v>2.5</v>
      </c>
      <c r="I9" s="463">
        <f>H9-I11</f>
        <v>2.5</v>
      </c>
      <c r="J9" s="464"/>
      <c r="K9" s="463">
        <v>3</v>
      </c>
      <c r="L9" s="464">
        <v>3</v>
      </c>
      <c r="M9" s="463">
        <f>L9-M11</f>
        <v>2.6</v>
      </c>
      <c r="N9" s="466">
        <v>2</v>
      </c>
      <c r="O9" s="463">
        <f>N9-O11</f>
        <v>2</v>
      </c>
      <c r="P9" s="457">
        <v>2.5</v>
      </c>
      <c r="Q9" s="467">
        <f>P9-Q11</f>
        <v>1.8</v>
      </c>
      <c r="R9" s="54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8"/>
      <c r="C10" s="469"/>
      <c r="D10" s="466"/>
      <c r="E10" s="470"/>
      <c r="F10" s="471"/>
      <c r="G10" s="472"/>
      <c r="H10" s="473"/>
      <c r="I10" s="470"/>
      <c r="J10" s="468"/>
      <c r="K10" s="474"/>
      <c r="L10" s="475"/>
      <c r="M10" s="474"/>
      <c r="N10" s="447"/>
      <c r="O10" s="449"/>
      <c r="P10" s="457"/>
      <c r="Q10" s="452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6"/>
      <c r="C11" s="477"/>
      <c r="D11" s="478"/>
      <c r="E11" s="479"/>
      <c r="F11" s="480"/>
      <c r="G11" s="477"/>
      <c r="H11" s="481" t="s">
        <v>53</v>
      </c>
      <c r="I11" s="482">
        <v>0</v>
      </c>
      <c r="J11" s="480"/>
      <c r="K11" s="483"/>
      <c r="L11" s="481" t="s">
        <v>53</v>
      </c>
      <c r="M11" s="483">
        <v>0.4</v>
      </c>
      <c r="N11" s="481" t="s">
        <v>53</v>
      </c>
      <c r="O11" s="482">
        <v>0</v>
      </c>
      <c r="P11" s="480" t="s">
        <v>54</v>
      </c>
      <c r="Q11" s="484">
        <v>0.7</v>
      </c>
      <c r="R11" s="537" t="s">
        <v>475</v>
      </c>
      <c r="S11" s="446" t="s">
        <v>477</v>
      </c>
      <c r="T11" s="537" t="s">
        <v>446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9" t="s">
        <v>319</v>
      </c>
      <c r="C12" s="526" t="s">
        <v>213</v>
      </c>
      <c r="D12" s="533" t="s">
        <v>190</v>
      </c>
      <c r="E12" s="526" t="s">
        <v>59</v>
      </c>
      <c r="F12" s="525" t="s">
        <v>322</v>
      </c>
      <c r="G12" s="504" t="s">
        <v>331</v>
      </c>
      <c r="H12" s="527" t="s">
        <v>323</v>
      </c>
      <c r="I12" s="526" t="s">
        <v>59</v>
      </c>
      <c r="J12" s="527" t="s">
        <v>324</v>
      </c>
      <c r="K12" s="504" t="s">
        <v>213</v>
      </c>
      <c r="L12" s="552" t="s">
        <v>262</v>
      </c>
      <c r="M12" s="504" t="s">
        <v>213</v>
      </c>
      <c r="N12" s="527" t="s">
        <v>429</v>
      </c>
      <c r="O12" s="504" t="s">
        <v>213</v>
      </c>
      <c r="P12" s="536" t="s">
        <v>327</v>
      </c>
      <c r="Q12" s="530" t="s">
        <v>331</v>
      </c>
      <c r="R12" s="537" t="s">
        <v>476</v>
      </c>
      <c r="S12" s="537" t="s">
        <v>478</v>
      </c>
      <c r="T12" s="558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50" t="s">
        <v>347</v>
      </c>
      <c r="C13" s="531" t="s">
        <v>70</v>
      </c>
      <c r="D13" s="486"/>
      <c r="E13" s="531"/>
      <c r="F13" s="550"/>
      <c r="G13" s="531"/>
      <c r="H13" s="552" t="s">
        <v>315</v>
      </c>
      <c r="I13" s="531" t="s">
        <v>87</v>
      </c>
      <c r="J13" s="567" t="s">
        <v>415</v>
      </c>
      <c r="K13" s="531" t="s">
        <v>87</v>
      </c>
      <c r="L13" s="567" t="s">
        <v>415</v>
      </c>
      <c r="M13" s="531" t="s">
        <v>36</v>
      </c>
      <c r="N13" s="552"/>
      <c r="O13" s="531"/>
      <c r="P13" s="567" t="s">
        <v>415</v>
      </c>
      <c r="Q13" s="531" t="s">
        <v>74</v>
      </c>
      <c r="R13" s="519" t="s">
        <v>61</v>
      </c>
      <c r="S13" s="537" t="s">
        <v>447</v>
      </c>
      <c r="T13" s="53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1"/>
      <c r="C14" s="505"/>
      <c r="D14" s="563"/>
      <c r="E14" s="531"/>
      <c r="F14" s="550"/>
      <c r="G14" s="531"/>
      <c r="H14" s="552"/>
      <c r="I14" s="531"/>
      <c r="J14" s="552" t="s">
        <v>315</v>
      </c>
      <c r="K14" s="504" t="s">
        <v>36</v>
      </c>
      <c r="L14" s="535"/>
      <c r="N14" s="550"/>
      <c r="O14" s="531"/>
      <c r="P14" s="550" t="s">
        <v>347</v>
      </c>
      <c r="Q14" s="531" t="s">
        <v>72</v>
      </c>
      <c r="R14" s="519" t="s">
        <v>479</v>
      </c>
      <c r="S14" s="446" t="s">
        <v>480</v>
      </c>
      <c r="T14" s="524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488"/>
      <c r="C15" s="489"/>
      <c r="D15" s="486"/>
      <c r="E15" s="531"/>
      <c r="F15" s="486"/>
      <c r="G15" s="531"/>
      <c r="H15" s="486"/>
      <c r="I15" s="531"/>
      <c r="J15" s="552"/>
      <c r="K15" s="504"/>
      <c r="L15" s="535"/>
      <c r="M15" s="531"/>
      <c r="N15" s="488"/>
      <c r="O15" s="520"/>
      <c r="P15" s="471"/>
      <c r="Q15" s="485"/>
      <c r="R15" s="445" t="s">
        <v>481</v>
      </c>
      <c r="S15" s="537" t="s">
        <v>482</v>
      </c>
      <c r="T15" s="524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13"/>
      <c r="C16" s="450"/>
      <c r="D16" s="518"/>
      <c r="E16" s="514"/>
      <c r="F16" s="513"/>
      <c r="G16" s="450"/>
      <c r="H16" s="515"/>
      <c r="I16" s="450"/>
      <c r="J16" s="550"/>
      <c r="K16" s="531"/>
      <c r="L16" s="517"/>
      <c r="M16" s="516"/>
      <c r="N16" s="513"/>
      <c r="O16" s="521"/>
      <c r="P16" s="513"/>
      <c r="Q16" s="490"/>
      <c r="R16" s="444" t="s">
        <v>483</v>
      </c>
      <c r="S16" s="555" t="s">
        <v>484</v>
      </c>
      <c r="T16" s="524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7"/>
      <c r="C17" s="491"/>
      <c r="D17" s="518" t="s">
        <v>316</v>
      </c>
      <c r="E17" s="492" t="s">
        <v>39</v>
      </c>
      <c r="F17" s="518" t="s">
        <v>316</v>
      </c>
      <c r="G17" s="493" t="s">
        <v>36</v>
      </c>
      <c r="H17" s="494"/>
      <c r="I17" s="495"/>
      <c r="J17" s="447"/>
      <c r="K17" s="449"/>
      <c r="L17" s="553" t="s">
        <v>315</v>
      </c>
      <c r="M17" s="495" t="s">
        <v>74</v>
      </c>
      <c r="N17" s="553"/>
      <c r="O17" s="495"/>
      <c r="P17" s="496" t="s">
        <v>54</v>
      </c>
      <c r="Q17" s="497">
        <v>0.4</v>
      </c>
      <c r="R17" s="589" t="s">
        <v>423</v>
      </c>
      <c r="S17" s="590"/>
      <c r="T17" s="591"/>
      <c r="U17" s="592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8">
        <f>B51</f>
        <v>1.6428571428571426</v>
      </c>
      <c r="C18" s="499"/>
      <c r="D18" s="498">
        <f>D51</f>
        <v>1.0952380952380951</v>
      </c>
      <c r="E18" s="500"/>
      <c r="F18" s="498">
        <f>F51</f>
        <v>1.0952380952380951</v>
      </c>
      <c r="G18" s="499"/>
      <c r="H18" s="498">
        <f>H51</f>
        <v>1.3690476190476186</v>
      </c>
      <c r="I18" s="499"/>
      <c r="J18" s="501">
        <f>J51</f>
        <v>1.6428571428571426</v>
      </c>
      <c r="K18" s="499"/>
      <c r="L18" s="501">
        <f>L51</f>
        <v>1.4238095238095236</v>
      </c>
      <c r="M18" s="499"/>
      <c r="N18" s="498">
        <f>N51</f>
        <v>1.0952380952380951</v>
      </c>
      <c r="O18" s="500"/>
      <c r="P18" s="502">
        <f>P51</f>
        <v>0.98571428571428565</v>
      </c>
      <c r="Q18" s="500">
        <f>P18+Q17</f>
        <v>1.3857142857142857</v>
      </c>
      <c r="R18" s="593"/>
      <c r="S18" s="594"/>
      <c r="T18" s="594"/>
      <c r="U18" s="595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10" t="s">
        <v>441</v>
      </c>
      <c r="C19" s="511" t="s">
        <v>440</v>
      </c>
      <c r="D19" s="510"/>
      <c r="E19" s="511"/>
      <c r="F19" s="550"/>
      <c r="G19" s="505"/>
      <c r="H19" s="510" t="s">
        <v>432</v>
      </c>
      <c r="I19" s="511" t="s">
        <v>433</v>
      </c>
      <c r="J19" s="528" t="s">
        <v>437</v>
      </c>
      <c r="K19" s="511" t="s">
        <v>438</v>
      </c>
      <c r="L19" s="510" t="s">
        <v>434</v>
      </c>
      <c r="M19" s="504" t="s">
        <v>436</v>
      </c>
      <c r="N19" s="562"/>
      <c r="O19" s="504"/>
      <c r="P19" s="510"/>
      <c r="Q19" s="511"/>
      <c r="R19" s="596" t="s">
        <v>90</v>
      </c>
      <c r="S19" s="597"/>
      <c r="T19" s="597"/>
      <c r="U19" s="598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4"/>
      <c r="C20" s="504"/>
      <c r="D20" s="503"/>
      <c r="E20" s="504"/>
      <c r="F20" s="509"/>
      <c r="G20" s="507"/>
      <c r="H20" s="510"/>
      <c r="I20" s="504"/>
      <c r="J20" s="503" t="s">
        <v>380</v>
      </c>
      <c r="K20" s="507" t="s">
        <v>439</v>
      </c>
      <c r="L20" s="506" t="s">
        <v>358</v>
      </c>
      <c r="M20" s="504" t="s">
        <v>431</v>
      </c>
      <c r="N20" s="503"/>
      <c r="O20" s="504"/>
      <c r="P20" s="503"/>
      <c r="Q20" s="504"/>
      <c r="R20" s="545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09"/>
      <c r="I21" s="504"/>
      <c r="J21" s="503" t="s">
        <v>434</v>
      </c>
      <c r="K21" s="507" t="s">
        <v>435</v>
      </c>
      <c r="L21" s="506"/>
      <c r="M21" s="504"/>
      <c r="N21" s="24"/>
      <c r="O21" s="107"/>
      <c r="P21" s="24"/>
      <c r="Q21" s="20"/>
      <c r="R21" s="168"/>
      <c r="S21" s="602" t="s">
        <v>93</v>
      </c>
      <c r="T21" s="602"/>
      <c r="U21" s="603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10"/>
      <c r="I22" s="107"/>
      <c r="J22" s="46"/>
      <c r="L22" s="173" t="s">
        <v>117</v>
      </c>
      <c r="M22" s="172"/>
      <c r="N22" s="503"/>
      <c r="O22" s="504"/>
      <c r="P22" s="176"/>
      <c r="Q22" s="177"/>
      <c r="R22" s="604"/>
      <c r="S22" s="605"/>
      <c r="T22" s="605"/>
      <c r="U22" s="606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07"/>
      <c r="S23" s="608"/>
      <c r="T23" s="608"/>
      <c r="U23" s="609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8.9682539682539613</v>
      </c>
      <c r="C30" s="218"/>
      <c r="D30" s="219">
        <f>D44</f>
        <v>-18.021164021164026</v>
      </c>
      <c r="E30" s="220"/>
      <c r="F30" s="221">
        <f>F44</f>
        <v>-18.021164021164026</v>
      </c>
      <c r="G30" s="221"/>
      <c r="H30" s="217">
        <f>H44</f>
        <v>4.9735449735449606</v>
      </c>
      <c r="I30" s="218"/>
      <c r="J30" s="217">
        <f>J44</f>
        <v>24.968253968253961</v>
      </c>
      <c r="K30" s="222"/>
      <c r="L30" s="217">
        <f>L44</f>
        <v>9.7724867724867721</v>
      </c>
      <c r="M30" s="222"/>
      <c r="N30" s="217">
        <f>N44</f>
        <v>-9.0211640211640258</v>
      </c>
      <c r="O30" s="222"/>
      <c r="P30" s="152">
        <f>P44</f>
        <v>-3.6190476190476204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16.5" customHeight="1" thickTop="1">
      <c r="A31" s="19"/>
      <c r="B31" s="529"/>
      <c r="C31" s="540"/>
      <c r="D31" s="529" t="s">
        <v>25</v>
      </c>
      <c r="E31" s="540" t="s">
        <v>238</v>
      </c>
      <c r="F31" s="541" t="s">
        <v>430</v>
      </c>
      <c r="G31" s="542" t="s">
        <v>242</v>
      </c>
      <c r="H31" s="543" t="s">
        <v>47</v>
      </c>
      <c r="I31" s="542" t="s">
        <v>242</v>
      </c>
      <c r="J31" s="529"/>
      <c r="K31" s="440"/>
      <c r="L31" s="547"/>
      <c r="M31" s="542"/>
      <c r="N31" s="564" t="s">
        <v>15</v>
      </c>
      <c r="O31" s="565" t="s">
        <v>99</v>
      </c>
      <c r="P31" s="548" t="s">
        <v>424</v>
      </c>
      <c r="Q31" s="540" t="s">
        <v>99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84.25" customHeight="1">
      <c r="A32" s="96"/>
      <c r="B32" s="108"/>
      <c r="C32" s="107"/>
      <c r="D32" s="24"/>
      <c r="E32" s="229"/>
      <c r="F32" s="442"/>
      <c r="G32" s="229"/>
      <c r="H32" s="447"/>
      <c r="I32" s="540"/>
      <c r="J32" s="24"/>
      <c r="K32" s="229"/>
      <c r="L32" s="439"/>
      <c r="M32" s="229"/>
      <c r="N32" s="46"/>
      <c r="P32" s="529" t="s">
        <v>28</v>
      </c>
      <c r="Q32" s="566" t="s">
        <v>425</v>
      </c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8"/>
      <c r="C33" s="107"/>
      <c r="D33" s="242"/>
      <c r="E33" s="52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321</v>
      </c>
      <c r="T33" s="232" t="s">
        <v>109</v>
      </c>
      <c r="U33" s="247" t="s">
        <v>312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80"/>
      <c r="W40" s="581"/>
      <c r="X40" s="581"/>
      <c r="Y40" s="582"/>
      <c r="Z40" s="302"/>
      <c r="AA40" s="303"/>
    </row>
    <row r="41" spans="1:33" ht="73" thickBot="1">
      <c r="A41" s="304" t="s">
        <v>136</v>
      </c>
      <c r="B41" s="305">
        <f>SUM(B43:T43)</f>
        <v>18.900000000000002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83"/>
      <c r="W41" s="584"/>
      <c r="X41" s="584"/>
      <c r="Y41" s="585"/>
      <c r="Z41" s="302"/>
      <c r="AA41" s="303"/>
    </row>
    <row r="42" spans="1:33" ht="72">
      <c r="A42" s="304" t="s">
        <v>137</v>
      </c>
      <c r="B42" s="294">
        <f>B40/B41</f>
        <v>27.989417989417987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</v>
      </c>
      <c r="G43" s="297"/>
      <c r="H43" s="278">
        <f>I9</f>
        <v>2.5</v>
      </c>
      <c r="I43" s="299"/>
      <c r="J43" s="278">
        <f>K9</f>
        <v>3</v>
      </c>
      <c r="K43" s="299"/>
      <c r="L43" s="278">
        <f>M9</f>
        <v>2.6</v>
      </c>
      <c r="M43" s="299"/>
      <c r="N43" s="278">
        <f>O9</f>
        <v>2</v>
      </c>
      <c r="O43" s="299"/>
      <c r="P43" s="311">
        <f>Q9</f>
        <v>1.8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8.9682539682539613</v>
      </c>
      <c r="C44" s="295"/>
      <c r="D44" s="318">
        <f>B40/B41*D43-D45</f>
        <v>-18.021164021164026</v>
      </c>
      <c r="E44" s="319"/>
      <c r="F44" s="318">
        <f>B40/B41*F43-F45</f>
        <v>-18.021164021164026</v>
      </c>
      <c r="G44" s="320"/>
      <c r="H44" s="321">
        <f>B40/B41*H43-H45</f>
        <v>4.9735449735449606</v>
      </c>
      <c r="I44" s="322"/>
      <c r="J44" s="321">
        <f>B40/B41*J43-J45</f>
        <v>24.968253968253961</v>
      </c>
      <c r="K44" s="322"/>
      <c r="L44" s="321">
        <f>B40/B41*L43-L45</f>
        <v>9.7724867724867721</v>
      </c>
      <c r="M44" s="322"/>
      <c r="N44" s="321">
        <f>B40/B41*N43-N45</f>
        <v>-9.0211640211640258</v>
      </c>
      <c r="O44" s="322"/>
      <c r="P44" s="311">
        <f>B40/B41*P43-P45</f>
        <v>-3.6190476190476204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305</v>
      </c>
      <c r="K46" s="348">
        <v>59</v>
      </c>
      <c r="L46" s="349" t="s">
        <v>349</v>
      </c>
      <c r="M46" s="348">
        <v>63</v>
      </c>
      <c r="N46" s="349" t="s">
        <v>304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51.111111111111114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83.968253968253961</v>
      </c>
      <c r="C50" s="354"/>
      <c r="D50" s="354">
        <f>B42*D43</f>
        <v>55.978835978835974</v>
      </c>
      <c r="E50" s="354"/>
      <c r="F50" s="354">
        <f>B42*F43</f>
        <v>55.978835978835974</v>
      </c>
      <c r="G50" s="354"/>
      <c r="H50" s="359">
        <f>B42*H43</f>
        <v>69.973544973544961</v>
      </c>
      <c r="I50" s="354"/>
      <c r="J50" s="354">
        <f>B42*J43</f>
        <v>83.968253968253961</v>
      </c>
      <c r="K50" s="354"/>
      <c r="L50" s="354">
        <f>B42*L43</f>
        <v>72.772486772486772</v>
      </c>
      <c r="M50" s="354"/>
      <c r="N50" s="359">
        <f>B42*N43</f>
        <v>55.978835978835974</v>
      </c>
      <c r="O50" s="354"/>
      <c r="P50" s="354">
        <f>B42*P43</f>
        <v>50.38095238095238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1.6428571428571426</v>
      </c>
      <c r="C51" s="354"/>
      <c r="D51" s="354">
        <f>D50/B49</f>
        <v>1.0952380952380951</v>
      </c>
      <c r="E51" s="354"/>
      <c r="F51" s="354">
        <f>F50/B49</f>
        <v>1.0952380952380951</v>
      </c>
      <c r="G51" s="354"/>
      <c r="H51" s="354">
        <f>H50/B49</f>
        <v>1.3690476190476186</v>
      </c>
      <c r="I51" s="354"/>
      <c r="J51" s="354">
        <f>J50/B49</f>
        <v>1.6428571428571426</v>
      </c>
      <c r="K51" s="354"/>
      <c r="L51" s="354">
        <f>L50/B49</f>
        <v>1.4238095238095236</v>
      </c>
      <c r="M51" s="354"/>
      <c r="N51" s="359">
        <f>N50/B49</f>
        <v>1.0952380952380951</v>
      </c>
      <c r="O51" s="354"/>
      <c r="P51" s="354">
        <f>P50/B49</f>
        <v>0.98571428571428565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2</v>
      </c>
      <c r="H69" s="376">
        <v>0</v>
      </c>
      <c r="I69" s="377">
        <v>0</v>
      </c>
      <c r="J69" s="376">
        <f>SUM(C69:H69)</f>
        <v>3.65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0.25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J101"/>
  <sheetViews>
    <sheetView zoomScale="40" zoomScaleNormal="40" workbookViewId="0">
      <selection activeCell="N45" sqref="N45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5.16406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46000</v>
      </c>
      <c r="E1" s="3" t="str">
        <f>TEXT(D1, "dddd")</f>
        <v>Tuesday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4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7" t="s">
        <v>334</v>
      </c>
      <c r="C3" s="448"/>
      <c r="D3" s="447" t="s">
        <v>34</v>
      </c>
      <c r="E3" s="512"/>
      <c r="F3" s="449" t="s">
        <v>198</v>
      </c>
      <c r="G3" s="450" t="s">
        <v>36</v>
      </c>
      <c r="H3" s="447" t="s">
        <v>13</v>
      </c>
      <c r="I3" s="450" t="s">
        <v>188</v>
      </c>
      <c r="J3" s="447" t="s">
        <v>297</v>
      </c>
      <c r="K3" s="450"/>
      <c r="L3" s="568" t="s">
        <v>243</v>
      </c>
      <c r="M3" s="450"/>
      <c r="N3" s="447" t="s">
        <v>38</v>
      </c>
      <c r="O3" s="450"/>
      <c r="P3" s="447" t="s">
        <v>28</v>
      </c>
      <c r="Q3" s="448"/>
      <c r="R3" s="586" t="s">
        <v>306</v>
      </c>
      <c r="S3" s="587"/>
      <c r="T3" s="587"/>
      <c r="U3" s="588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7" t="s">
        <v>33</v>
      </c>
      <c r="C4" s="448"/>
      <c r="D4" s="447" t="s">
        <v>23</v>
      </c>
      <c r="E4" s="450"/>
      <c r="F4" s="447" t="s">
        <v>298</v>
      </c>
      <c r="G4" s="450"/>
      <c r="H4" s="447" t="s">
        <v>37</v>
      </c>
      <c r="I4" s="450"/>
      <c r="J4" s="447" t="s">
        <v>14</v>
      </c>
      <c r="K4" s="453"/>
      <c r="L4" s="454" t="s">
        <v>27</v>
      </c>
      <c r="M4" s="450"/>
      <c r="N4" s="447" t="s">
        <v>326</v>
      </c>
      <c r="O4" s="450"/>
      <c r="P4" s="447" t="s">
        <v>32</v>
      </c>
      <c r="Q4" s="450"/>
      <c r="R4" s="33" t="s">
        <v>29</v>
      </c>
      <c r="S4" s="34"/>
      <c r="T4" s="34" t="s">
        <v>317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7" t="s">
        <v>328</v>
      </c>
      <c r="C5" s="26"/>
      <c r="D5" s="447"/>
      <c r="E5" s="449"/>
      <c r="F5" s="447" t="s">
        <v>442</v>
      </c>
      <c r="G5" s="450"/>
      <c r="H5" s="447" t="s">
        <v>301</v>
      </c>
      <c r="I5" s="449"/>
      <c r="J5" s="447" t="s">
        <v>26</v>
      </c>
      <c r="K5" s="450"/>
      <c r="L5" s="454" t="s">
        <v>307</v>
      </c>
      <c r="M5" s="450"/>
      <c r="N5" s="447"/>
      <c r="O5" s="450"/>
      <c r="P5" s="447"/>
      <c r="Q5" s="448"/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7"/>
      <c r="E6" s="556"/>
      <c r="F6" s="447"/>
      <c r="G6" s="450"/>
      <c r="H6" s="447"/>
      <c r="I6" s="449"/>
      <c r="J6" s="447"/>
      <c r="K6" s="450"/>
      <c r="L6" s="447"/>
      <c r="M6" s="448"/>
      <c r="N6" s="447"/>
      <c r="O6" s="449"/>
      <c r="P6" s="447"/>
      <c r="Q6" s="450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7"/>
      <c r="C7" s="450"/>
      <c r="D7" s="447"/>
      <c r="E7" s="450"/>
      <c r="F7" s="447"/>
      <c r="G7" s="452"/>
      <c r="H7" s="447"/>
      <c r="I7" s="450"/>
      <c r="J7" s="447"/>
      <c r="K7" s="448"/>
      <c r="L7" s="455"/>
      <c r="M7" s="448"/>
      <c r="N7" s="447"/>
      <c r="O7" s="450"/>
      <c r="P7" s="456"/>
      <c r="Q7" s="452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7"/>
      <c r="C8" s="458"/>
      <c r="D8" s="457"/>
      <c r="E8" s="450"/>
      <c r="F8" s="447"/>
      <c r="G8" s="449"/>
      <c r="H8" s="447"/>
      <c r="I8" s="449"/>
      <c r="J8" s="457"/>
      <c r="K8" s="459" t="s">
        <v>45</v>
      </c>
      <c r="L8" s="460"/>
      <c r="M8" s="459"/>
      <c r="N8" s="447"/>
      <c r="O8" s="450"/>
      <c r="P8" s="457"/>
      <c r="Q8" s="461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62"/>
      <c r="C9" s="463">
        <v>3</v>
      </c>
      <c r="D9" s="464"/>
      <c r="E9" s="463">
        <v>2</v>
      </c>
      <c r="F9" s="464"/>
      <c r="G9" s="463">
        <v>2.5</v>
      </c>
      <c r="H9" s="465">
        <v>2.5</v>
      </c>
      <c r="I9" s="463">
        <f>H9-I11</f>
        <v>2.5</v>
      </c>
      <c r="J9" s="464"/>
      <c r="K9" s="463">
        <v>3</v>
      </c>
      <c r="L9" s="464">
        <v>3</v>
      </c>
      <c r="M9" s="463">
        <f>L9-M11</f>
        <v>2.6</v>
      </c>
      <c r="N9" s="466">
        <v>2</v>
      </c>
      <c r="O9" s="463">
        <f>N9-O11</f>
        <v>2</v>
      </c>
      <c r="P9" s="457">
        <v>2</v>
      </c>
      <c r="Q9" s="467">
        <f>P9-Q11</f>
        <v>1.3</v>
      </c>
      <c r="R9" s="54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8"/>
      <c r="C10" s="469"/>
      <c r="D10" s="466"/>
      <c r="E10" s="470"/>
      <c r="F10" s="471"/>
      <c r="G10" s="472"/>
      <c r="H10" s="473"/>
      <c r="I10" s="470"/>
      <c r="J10" s="468"/>
      <c r="K10" s="474"/>
      <c r="L10" s="475"/>
      <c r="M10" s="474"/>
      <c r="N10" s="447"/>
      <c r="O10" s="449"/>
      <c r="P10" s="457"/>
      <c r="Q10" s="452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6"/>
      <c r="C11" s="477"/>
      <c r="D11" s="478"/>
      <c r="E11" s="479"/>
      <c r="F11" s="480"/>
      <c r="G11" s="477"/>
      <c r="H11" s="481" t="s">
        <v>53</v>
      </c>
      <c r="I11" s="482">
        <v>0</v>
      </c>
      <c r="J11" s="480"/>
      <c r="K11" s="483"/>
      <c r="L11" s="481" t="s">
        <v>53</v>
      </c>
      <c r="M11" s="483">
        <v>0.4</v>
      </c>
      <c r="N11" s="481" t="s">
        <v>53</v>
      </c>
      <c r="O11" s="482">
        <v>0</v>
      </c>
      <c r="P11" s="480" t="s">
        <v>54</v>
      </c>
      <c r="Q11" s="484">
        <v>0.7</v>
      </c>
      <c r="R11" s="537" t="s">
        <v>319</v>
      </c>
      <c r="S11" s="446" t="s">
        <v>329</v>
      </c>
      <c r="T11" s="537" t="s">
        <v>315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9" t="s">
        <v>319</v>
      </c>
      <c r="C12" s="526" t="s">
        <v>460</v>
      </c>
      <c r="D12" s="533" t="s">
        <v>190</v>
      </c>
      <c r="E12" s="526" t="s">
        <v>59</v>
      </c>
      <c r="F12" s="525" t="s">
        <v>322</v>
      </c>
      <c r="G12" s="504" t="s">
        <v>331</v>
      </c>
      <c r="H12" s="527" t="s">
        <v>323</v>
      </c>
      <c r="I12" s="526" t="s">
        <v>363</v>
      </c>
      <c r="J12" s="527" t="s">
        <v>324</v>
      </c>
      <c r="K12" s="504" t="s">
        <v>213</v>
      </c>
      <c r="L12" s="552" t="s">
        <v>262</v>
      </c>
      <c r="M12" s="504" t="s">
        <v>203</v>
      </c>
      <c r="N12" s="534" t="s">
        <v>445</v>
      </c>
      <c r="O12" s="504" t="s">
        <v>213</v>
      </c>
      <c r="P12" s="536" t="s">
        <v>327</v>
      </c>
      <c r="Q12" s="530" t="s">
        <v>331</v>
      </c>
      <c r="R12" s="537" t="s">
        <v>190</v>
      </c>
      <c r="S12" s="537" t="s">
        <v>330</v>
      </c>
      <c r="T12" s="444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72" t="s">
        <v>347</v>
      </c>
      <c r="C13" s="571" t="s">
        <v>59</v>
      </c>
      <c r="D13" s="550"/>
      <c r="E13" s="531"/>
      <c r="F13" s="573" t="s">
        <v>67</v>
      </c>
      <c r="G13" s="571" t="s">
        <v>72</v>
      </c>
      <c r="H13" s="486" t="s">
        <v>447</v>
      </c>
      <c r="I13" s="531" t="s">
        <v>191</v>
      </c>
      <c r="J13" s="552" t="s">
        <v>67</v>
      </c>
      <c r="K13" s="504" t="s">
        <v>70</v>
      </c>
      <c r="L13" s="570" t="s">
        <v>446</v>
      </c>
      <c r="M13" s="571" t="s">
        <v>36</v>
      </c>
      <c r="N13" s="567"/>
      <c r="O13" s="531"/>
      <c r="P13" s="563"/>
      <c r="Q13" s="531"/>
      <c r="R13" s="445" t="s">
        <v>426</v>
      </c>
      <c r="S13" s="559" t="s">
        <v>427</v>
      </c>
      <c r="T13" s="53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67" t="s">
        <v>446</v>
      </c>
      <c r="C14" s="531" t="s">
        <v>74</v>
      </c>
      <c r="D14" s="563"/>
      <c r="E14" s="531"/>
      <c r="F14" s="552"/>
      <c r="G14" s="531"/>
      <c r="H14" s="563"/>
      <c r="I14" s="531"/>
      <c r="J14" s="567"/>
      <c r="K14" s="504"/>
      <c r="L14" s="552" t="s">
        <v>447</v>
      </c>
      <c r="M14" s="531" t="s">
        <v>74</v>
      </c>
      <c r="N14" s="550"/>
      <c r="O14" s="531"/>
      <c r="P14" s="550"/>
      <c r="Q14" s="531"/>
      <c r="R14" s="519" t="s">
        <v>444</v>
      </c>
      <c r="S14" s="446" t="s">
        <v>428</v>
      </c>
      <c r="T14" s="524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67"/>
      <c r="C15" s="531"/>
      <c r="D15" s="486"/>
      <c r="E15" s="531"/>
      <c r="F15" s="567"/>
      <c r="G15" s="531"/>
      <c r="H15" s="486"/>
      <c r="I15" s="531"/>
      <c r="J15" s="552"/>
      <c r="K15" s="504"/>
      <c r="L15" s="574"/>
      <c r="M15" s="504"/>
      <c r="N15" s="488"/>
      <c r="O15" s="520"/>
      <c r="P15" s="471"/>
      <c r="Q15" s="485"/>
      <c r="R15" s="519" t="s">
        <v>82</v>
      </c>
      <c r="S15" s="537" t="s">
        <v>63</v>
      </c>
      <c r="T15" s="524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.75" customHeight="1" thickBot="1">
      <c r="A16" s="124"/>
      <c r="B16" s="513"/>
      <c r="C16" s="450"/>
      <c r="D16" s="518"/>
      <c r="E16" s="514"/>
      <c r="F16" s="513"/>
      <c r="G16" s="450"/>
      <c r="H16" s="515"/>
      <c r="I16" s="450"/>
      <c r="J16" s="550"/>
      <c r="K16" s="531"/>
      <c r="L16" s="517"/>
      <c r="M16" s="516"/>
      <c r="N16" s="513"/>
      <c r="O16" s="521"/>
      <c r="P16" s="513"/>
      <c r="Q16" s="490"/>
      <c r="R16" s="444" t="s">
        <v>65</v>
      </c>
      <c r="S16" s="555" t="s">
        <v>461</v>
      </c>
      <c r="T16" s="524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7"/>
      <c r="C17" s="491"/>
      <c r="D17" s="518" t="s">
        <v>316</v>
      </c>
      <c r="E17" s="492" t="s">
        <v>39</v>
      </c>
      <c r="F17" s="518" t="s">
        <v>316</v>
      </c>
      <c r="G17" s="493" t="s">
        <v>36</v>
      </c>
      <c r="H17" s="494"/>
      <c r="I17" s="495"/>
      <c r="J17" s="447"/>
      <c r="K17" s="449"/>
      <c r="L17" s="553" t="s">
        <v>315</v>
      </c>
      <c r="M17" s="495" t="s">
        <v>87</v>
      </c>
      <c r="N17" s="553"/>
      <c r="O17" s="495"/>
      <c r="P17" s="496" t="s">
        <v>54</v>
      </c>
      <c r="Q17" s="497">
        <v>0.4</v>
      </c>
      <c r="R17" s="589" t="s">
        <v>423</v>
      </c>
      <c r="S17" s="590"/>
      <c r="T17" s="591"/>
      <c r="U17" s="592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8">
        <f>B51</f>
        <v>1.6428571428571426</v>
      </c>
      <c r="C18" s="499"/>
      <c r="D18" s="498">
        <f>D51</f>
        <v>1.0952380952380951</v>
      </c>
      <c r="E18" s="500"/>
      <c r="F18" s="498">
        <f>F51</f>
        <v>1.3690476190476186</v>
      </c>
      <c r="G18" s="499"/>
      <c r="H18" s="498">
        <f>H51</f>
        <v>1.3690476190476186</v>
      </c>
      <c r="I18" s="499"/>
      <c r="J18" s="501">
        <f>J51</f>
        <v>1.6428571428571426</v>
      </c>
      <c r="K18" s="499"/>
      <c r="L18" s="501">
        <f>L51</f>
        <v>1.4238095238095236</v>
      </c>
      <c r="M18" s="499"/>
      <c r="N18" s="498">
        <f>N51</f>
        <v>1.0952380952380951</v>
      </c>
      <c r="O18" s="500"/>
      <c r="P18" s="502">
        <f>P51</f>
        <v>0.71190476190476182</v>
      </c>
      <c r="Q18" s="500">
        <f>P18+Q17</f>
        <v>1.111904761904762</v>
      </c>
      <c r="R18" s="593"/>
      <c r="S18" s="594"/>
      <c r="T18" s="594"/>
      <c r="U18" s="595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10" t="s">
        <v>354</v>
      </c>
      <c r="C19" s="511" t="s">
        <v>458</v>
      </c>
      <c r="D19" s="510"/>
      <c r="E19" s="511"/>
      <c r="F19" s="550"/>
      <c r="G19" s="505"/>
      <c r="H19" s="510" t="s">
        <v>380</v>
      </c>
      <c r="I19" s="511" t="s">
        <v>456</v>
      </c>
      <c r="J19" s="528" t="s">
        <v>441</v>
      </c>
      <c r="K19" s="511" t="s">
        <v>459</v>
      </c>
      <c r="L19" s="510" t="s">
        <v>454</v>
      </c>
      <c r="M19" s="504" t="s">
        <v>455</v>
      </c>
      <c r="N19" s="562"/>
      <c r="O19" s="504"/>
      <c r="P19" s="510"/>
      <c r="Q19" s="511"/>
      <c r="R19" s="596" t="s">
        <v>90</v>
      </c>
      <c r="S19" s="597"/>
      <c r="T19" s="597"/>
      <c r="U19" s="598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4" t="s">
        <v>358</v>
      </c>
      <c r="C20" s="504" t="s">
        <v>453</v>
      </c>
      <c r="D20" s="503"/>
      <c r="E20" s="504"/>
      <c r="F20" s="509"/>
      <c r="G20" s="507"/>
      <c r="H20" s="510"/>
      <c r="I20" s="504"/>
      <c r="J20" s="503" t="s">
        <v>358</v>
      </c>
      <c r="K20" s="507" t="s">
        <v>452</v>
      </c>
      <c r="L20" s="506" t="s">
        <v>380</v>
      </c>
      <c r="M20" s="504" t="s">
        <v>457</v>
      </c>
      <c r="N20" s="503"/>
      <c r="O20" s="504"/>
      <c r="P20" s="503"/>
      <c r="Q20" s="504"/>
      <c r="R20" s="545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09"/>
      <c r="I21" s="504"/>
      <c r="J21" s="503"/>
      <c r="K21" s="507"/>
      <c r="L21" s="506"/>
      <c r="M21" s="504"/>
      <c r="N21" s="24"/>
      <c r="O21" s="107"/>
      <c r="P21" s="24"/>
      <c r="Q21" s="20"/>
      <c r="R21" s="168"/>
      <c r="S21" s="602" t="s">
        <v>93</v>
      </c>
      <c r="T21" s="602"/>
      <c r="U21" s="603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10"/>
      <c r="I22" s="107"/>
      <c r="J22" s="46"/>
      <c r="L22" s="173" t="s">
        <v>117</v>
      </c>
      <c r="M22" s="172"/>
      <c r="N22" s="503"/>
      <c r="O22" s="504"/>
      <c r="P22" s="176"/>
      <c r="Q22" s="177"/>
      <c r="R22" s="604"/>
      <c r="S22" s="605"/>
      <c r="T22" s="605"/>
      <c r="U22" s="606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07"/>
      <c r="S23" s="608"/>
      <c r="T23" s="608"/>
      <c r="U23" s="609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8.9682539682539613</v>
      </c>
      <c r="C30" s="218"/>
      <c r="D30" s="219">
        <f>D44</f>
        <v>-18.021164021164026</v>
      </c>
      <c r="E30" s="220"/>
      <c r="F30" s="221">
        <f>F44</f>
        <v>-4.0264550264550394</v>
      </c>
      <c r="G30" s="221"/>
      <c r="H30" s="217">
        <f>H44</f>
        <v>4.9735449735449606</v>
      </c>
      <c r="I30" s="218"/>
      <c r="J30" s="217">
        <f>J44</f>
        <v>24.968253968253961</v>
      </c>
      <c r="K30" s="222"/>
      <c r="L30" s="217">
        <f>L44</f>
        <v>9.7724867724867721</v>
      </c>
      <c r="M30" s="222"/>
      <c r="N30" s="217">
        <f>N44</f>
        <v>-9.0211640211640258</v>
      </c>
      <c r="O30" s="222"/>
      <c r="P30" s="152">
        <f>P44</f>
        <v>-17.613756613756614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16.5" customHeight="1" thickTop="1">
      <c r="A31" s="19"/>
      <c r="B31" s="529"/>
      <c r="C31" s="540"/>
      <c r="D31" s="529" t="s">
        <v>25</v>
      </c>
      <c r="E31" s="540" t="s">
        <v>238</v>
      </c>
      <c r="F31" s="541" t="s">
        <v>198</v>
      </c>
      <c r="G31" s="542" t="s">
        <v>443</v>
      </c>
      <c r="H31" s="543" t="s">
        <v>47</v>
      </c>
      <c r="I31" s="542" t="s">
        <v>242</v>
      </c>
      <c r="J31" s="529"/>
      <c r="K31" s="440"/>
      <c r="L31" s="547"/>
      <c r="M31" s="542"/>
      <c r="N31" s="564" t="s">
        <v>15</v>
      </c>
      <c r="O31" s="565" t="s">
        <v>99</v>
      </c>
      <c r="P31" s="548" t="s">
        <v>424</v>
      </c>
      <c r="Q31" s="540" t="s">
        <v>99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84.25" customHeight="1">
      <c r="A32" s="96"/>
      <c r="B32" s="108"/>
      <c r="C32" s="107"/>
      <c r="D32" s="24"/>
      <c r="E32" s="229"/>
      <c r="F32" s="447"/>
      <c r="G32" s="229"/>
      <c r="H32" s="447"/>
      <c r="I32" s="540"/>
      <c r="J32" s="24"/>
      <c r="K32" s="229"/>
      <c r="L32" s="439"/>
      <c r="M32" s="229"/>
      <c r="N32" s="46"/>
      <c r="P32" s="529"/>
      <c r="Q32" s="566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8"/>
      <c r="C33" s="107"/>
      <c r="D33" s="242"/>
      <c r="E33" s="52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321</v>
      </c>
      <c r="T33" s="232" t="s">
        <v>109</v>
      </c>
      <c r="U33" s="247" t="s">
        <v>312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80"/>
      <c r="W40" s="581"/>
      <c r="X40" s="581"/>
      <c r="Y40" s="582"/>
      <c r="Z40" s="302"/>
      <c r="AA40" s="303"/>
    </row>
    <row r="41" spans="1:33" ht="73" thickBot="1">
      <c r="A41" s="304" t="s">
        <v>136</v>
      </c>
      <c r="B41" s="305">
        <f>SUM(B43:T43)</f>
        <v>18.900000000000002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83"/>
      <c r="W41" s="584"/>
      <c r="X41" s="584"/>
      <c r="Y41" s="585"/>
      <c r="Z41" s="302"/>
      <c r="AA41" s="303"/>
    </row>
    <row r="42" spans="1:33" ht="72">
      <c r="A42" s="304" t="s">
        <v>137</v>
      </c>
      <c r="B42" s="294">
        <f>B40/B41</f>
        <v>27.989417989417987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3</v>
      </c>
      <c r="C43" s="295"/>
      <c r="D43" s="296">
        <f>E9</f>
        <v>2</v>
      </c>
      <c r="E43" s="297"/>
      <c r="F43" s="296">
        <f>G9</f>
        <v>2.5</v>
      </c>
      <c r="G43" s="297"/>
      <c r="H43" s="278">
        <f>I9</f>
        <v>2.5</v>
      </c>
      <c r="I43" s="299"/>
      <c r="J43" s="278">
        <f>K9</f>
        <v>3</v>
      </c>
      <c r="K43" s="299"/>
      <c r="L43" s="278">
        <f>M9</f>
        <v>2.6</v>
      </c>
      <c r="M43" s="299"/>
      <c r="N43" s="278">
        <f>O9</f>
        <v>2</v>
      </c>
      <c r="O43" s="299"/>
      <c r="P43" s="311">
        <f>Q9</f>
        <v>1.3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8.9682539682539613</v>
      </c>
      <c r="C44" s="295"/>
      <c r="D44" s="318">
        <f>B40/B41*D43-D45</f>
        <v>-18.021164021164026</v>
      </c>
      <c r="E44" s="319"/>
      <c r="F44" s="318">
        <f>B40/B41*F43-F45</f>
        <v>-4.0264550264550394</v>
      </c>
      <c r="G44" s="320"/>
      <c r="H44" s="321">
        <f>B40/B41*H43-H45</f>
        <v>4.9735449735449606</v>
      </c>
      <c r="I44" s="322"/>
      <c r="J44" s="321">
        <f>B40/B41*J43-J45</f>
        <v>24.968253968253961</v>
      </c>
      <c r="K44" s="322"/>
      <c r="L44" s="321">
        <f>B40/B41*L43-L45</f>
        <v>9.7724867724867721</v>
      </c>
      <c r="M44" s="322"/>
      <c r="N44" s="321">
        <f>B40/B41*N43-N45</f>
        <v>-9.0211640211640258</v>
      </c>
      <c r="O44" s="322"/>
      <c r="P44" s="311">
        <f>B40/B41*P43-P45</f>
        <v>-17.613756613756614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305</v>
      </c>
      <c r="K46" s="348">
        <v>59</v>
      </c>
      <c r="L46" s="349" t="s">
        <v>349</v>
      </c>
      <c r="M46" s="348">
        <v>63</v>
      </c>
      <c r="N46" s="349" t="s">
        <v>304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153</v>
      </c>
      <c r="B48" s="354">
        <f>14-J69+I69+K69</f>
        <v>10.35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154</v>
      </c>
      <c r="B49" s="359">
        <f>B40/B48</f>
        <v>51.111111111111114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155</v>
      </c>
      <c r="B50" s="354">
        <f>B42*B43</f>
        <v>83.968253968253961</v>
      </c>
      <c r="C50" s="354"/>
      <c r="D50" s="354">
        <f>B42*D43</f>
        <v>55.978835978835974</v>
      </c>
      <c r="E50" s="354"/>
      <c r="F50" s="354">
        <f>B42*F43</f>
        <v>69.973544973544961</v>
      </c>
      <c r="G50" s="354"/>
      <c r="H50" s="359">
        <f>B42*H43</f>
        <v>69.973544973544961</v>
      </c>
      <c r="I50" s="354"/>
      <c r="J50" s="354">
        <f>B42*J43</f>
        <v>83.968253968253961</v>
      </c>
      <c r="K50" s="354"/>
      <c r="L50" s="354">
        <f>B42*L43</f>
        <v>72.772486772486772</v>
      </c>
      <c r="M50" s="354"/>
      <c r="N50" s="359">
        <f>B42*N43</f>
        <v>55.978835978835974</v>
      </c>
      <c r="O50" s="354"/>
      <c r="P50" s="354">
        <f>B42*P43</f>
        <v>36.386243386243386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156</v>
      </c>
      <c r="B51" s="354">
        <f>B50/B49</f>
        <v>1.6428571428571426</v>
      </c>
      <c r="C51" s="354"/>
      <c r="D51" s="354">
        <f>D50/B49</f>
        <v>1.0952380952380951</v>
      </c>
      <c r="E51" s="354"/>
      <c r="F51" s="354">
        <f>F50/B49</f>
        <v>1.3690476190476186</v>
      </c>
      <c r="G51" s="354"/>
      <c r="H51" s="354">
        <f>H50/B49</f>
        <v>1.3690476190476186</v>
      </c>
      <c r="I51" s="354"/>
      <c r="J51" s="354">
        <f>J50/B49</f>
        <v>1.6428571428571426</v>
      </c>
      <c r="K51" s="354"/>
      <c r="L51" s="354">
        <f>L50/B49</f>
        <v>1.4238095238095236</v>
      </c>
      <c r="M51" s="354"/>
      <c r="N51" s="359">
        <f>N50/B49</f>
        <v>1.0952380952380951</v>
      </c>
      <c r="O51" s="354"/>
      <c r="P51" s="354">
        <f>P50/B49</f>
        <v>0.71190476190476182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158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2</v>
      </c>
      <c r="H69" s="376">
        <v>0</v>
      </c>
      <c r="I69" s="377">
        <v>0</v>
      </c>
      <c r="J69" s="376">
        <f>SUM(C69:H69)</f>
        <v>3.65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J101"/>
  <sheetViews>
    <sheetView tabSelected="1" topLeftCell="J5" zoomScale="50" zoomScaleNormal="50" workbookViewId="0">
      <selection activeCell="M9" sqref="M9:M12"/>
    </sheetView>
  </sheetViews>
  <sheetFormatPr baseColWidth="10" defaultColWidth="9" defaultRowHeight="35"/>
  <cols>
    <col min="1" max="1" width="33.5" style="8" customWidth="1"/>
    <col min="2" max="2" width="40.6640625" style="8" customWidth="1"/>
    <col min="3" max="3" width="50.6640625" style="8" customWidth="1"/>
    <col min="4" max="4" width="40.6640625" style="8" customWidth="1"/>
    <col min="5" max="5" width="55.6640625" style="8" customWidth="1"/>
    <col min="6" max="6" width="40.6640625" style="8" customWidth="1"/>
    <col min="7" max="7" width="50.6640625" style="8" customWidth="1"/>
    <col min="8" max="8" width="40.6640625" style="8" customWidth="1"/>
    <col min="9" max="9" width="50.6640625" style="8" customWidth="1"/>
    <col min="10" max="10" width="40.6640625" style="8" customWidth="1"/>
    <col min="11" max="11" width="50.6640625" style="8" customWidth="1"/>
    <col min="12" max="12" width="40.6640625" style="8" customWidth="1"/>
    <col min="13" max="13" width="50.6640625" style="8" customWidth="1"/>
    <col min="14" max="14" width="40.6640625" style="8" customWidth="1"/>
    <col min="15" max="15" width="50.6640625" style="8" customWidth="1"/>
    <col min="16" max="16" width="40.6640625" style="8" customWidth="1"/>
    <col min="17" max="17" width="50.6640625" style="8" customWidth="1"/>
    <col min="18" max="18" width="68.33203125" style="8" customWidth="1"/>
    <col min="19" max="19" width="39.6640625" style="8" customWidth="1"/>
    <col min="20" max="20" width="64.6640625" style="8" customWidth="1"/>
    <col min="21" max="21" width="45.5" style="8" customWidth="1"/>
    <col min="22" max="22" width="30.1640625" style="8" customWidth="1"/>
    <col min="23" max="23" width="25.33203125" style="8" customWidth="1"/>
    <col min="24" max="24" width="19.5" style="8" customWidth="1"/>
    <col min="25" max="25" width="19.33203125" style="8" customWidth="1"/>
    <col min="26" max="26" width="14.83203125" style="8" customWidth="1"/>
    <col min="27" max="27" width="26.6640625" style="8" customWidth="1"/>
    <col min="28" max="28" width="8.33203125" style="8" customWidth="1"/>
    <col min="29" max="29" width="19.33203125" style="9" customWidth="1"/>
    <col min="30" max="30" width="39.83203125" style="9" customWidth="1"/>
    <col min="31" max="32" width="9" style="9"/>
    <col min="33" max="33" width="4.83203125" style="9" customWidth="1"/>
    <col min="34" max="16384" width="9" style="8"/>
  </cols>
  <sheetData>
    <row r="1" spans="1:33" ht="46">
      <c r="A1" s="1"/>
      <c r="B1" s="1"/>
      <c r="C1" s="1"/>
      <c r="D1" s="2">
        <v>46001</v>
      </c>
      <c r="E1" s="3" t="str">
        <f>TEXT(D1, "dddd")</f>
        <v>Wednesday</v>
      </c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4"/>
      <c r="T1" s="4"/>
      <c r="U1" s="4"/>
      <c r="V1" s="5"/>
      <c r="W1" s="4"/>
      <c r="X1" s="1"/>
      <c r="Y1" s="1"/>
      <c r="Z1" s="6"/>
      <c r="AA1" s="7"/>
    </row>
    <row r="2" spans="1:33" ht="97.5" customHeight="1">
      <c r="A2" s="10" t="s">
        <v>0</v>
      </c>
      <c r="B2" s="11" t="s">
        <v>1</v>
      </c>
      <c r="C2" s="10"/>
      <c r="D2" s="14" t="s">
        <v>2</v>
      </c>
      <c r="E2" s="12"/>
      <c r="F2" s="11" t="s">
        <v>3</v>
      </c>
      <c r="G2" s="10"/>
      <c r="H2" s="14" t="s">
        <v>4</v>
      </c>
      <c r="I2" s="13"/>
      <c r="J2" s="14" t="s">
        <v>5</v>
      </c>
      <c r="K2" s="443"/>
      <c r="L2" s="14" t="s">
        <v>303</v>
      </c>
      <c r="M2" s="12"/>
      <c r="N2" s="14" t="s">
        <v>302</v>
      </c>
      <c r="O2" s="12"/>
      <c r="P2" s="15" t="s">
        <v>7</v>
      </c>
      <c r="Q2" s="16"/>
      <c r="R2" s="17"/>
      <c r="S2" s="12"/>
      <c r="T2" s="12"/>
      <c r="U2" s="12"/>
      <c r="V2" s="12" t="s">
        <v>8</v>
      </c>
      <c r="W2" s="12"/>
      <c r="X2" s="14" t="s">
        <v>9</v>
      </c>
      <c r="Y2" s="18" t="s">
        <v>10</v>
      </c>
      <c r="AA2" s="9"/>
      <c r="AB2" s="9"/>
      <c r="AF2" s="8"/>
      <c r="AG2" s="8"/>
    </row>
    <row r="3" spans="1:33" ht="102.75" customHeight="1">
      <c r="A3" s="19" t="s">
        <v>11</v>
      </c>
      <c r="B3" s="447" t="s">
        <v>334</v>
      </c>
      <c r="C3" s="448"/>
      <c r="D3" s="447" t="s">
        <v>25</v>
      </c>
      <c r="E3" s="512">
        <v>0.75</v>
      </c>
      <c r="F3" s="449" t="s">
        <v>198</v>
      </c>
      <c r="G3" s="450"/>
      <c r="H3" s="447" t="s">
        <v>301</v>
      </c>
      <c r="I3" s="450"/>
      <c r="J3" s="447" t="s">
        <v>297</v>
      </c>
      <c r="K3" s="450"/>
      <c r="L3" s="568" t="s">
        <v>243</v>
      </c>
      <c r="M3" s="450"/>
      <c r="N3" s="447" t="s">
        <v>38</v>
      </c>
      <c r="O3" s="450"/>
      <c r="P3" s="447" t="s">
        <v>28</v>
      </c>
      <c r="Q3" s="448"/>
      <c r="R3" s="586" t="s">
        <v>306</v>
      </c>
      <c r="S3" s="587"/>
      <c r="T3" s="587"/>
      <c r="U3" s="588"/>
      <c r="V3" s="27" t="s">
        <v>18</v>
      </c>
      <c r="W3" s="28" t="s">
        <v>19</v>
      </c>
      <c r="X3" s="29" t="s">
        <v>20</v>
      </c>
      <c r="Y3" s="30" t="s">
        <v>21</v>
      </c>
      <c r="AA3" s="9"/>
      <c r="AB3" s="9"/>
      <c r="AF3" s="8"/>
      <c r="AG3" s="8"/>
    </row>
    <row r="4" spans="1:33" ht="121.5" customHeight="1">
      <c r="A4" s="31"/>
      <c r="B4" s="447" t="s">
        <v>328</v>
      </c>
      <c r="C4" s="448"/>
      <c r="D4" s="447" t="s">
        <v>23</v>
      </c>
      <c r="E4" s="450"/>
      <c r="F4" s="447" t="s">
        <v>298</v>
      </c>
      <c r="G4" s="450"/>
      <c r="H4" s="447" t="s">
        <v>37</v>
      </c>
      <c r="I4" s="450"/>
      <c r="J4" s="447" t="s">
        <v>14</v>
      </c>
      <c r="K4" s="453"/>
      <c r="L4" s="454" t="s">
        <v>27</v>
      </c>
      <c r="M4" s="450"/>
      <c r="N4" s="447" t="s">
        <v>326</v>
      </c>
      <c r="O4" s="450"/>
      <c r="P4" s="447" t="s">
        <v>32</v>
      </c>
      <c r="Q4" s="450"/>
      <c r="R4" s="33" t="s">
        <v>29</v>
      </c>
      <c r="S4" s="34"/>
      <c r="T4" s="34" t="s">
        <v>485</v>
      </c>
      <c r="U4" s="35"/>
      <c r="V4" s="36" t="s">
        <v>31</v>
      </c>
      <c r="W4" s="37" t="s">
        <v>32</v>
      </c>
      <c r="X4" s="38"/>
      <c r="Y4" s="38"/>
      <c r="AA4" s="39"/>
      <c r="AB4" s="9"/>
      <c r="AF4" s="8"/>
      <c r="AG4" s="8"/>
    </row>
    <row r="5" spans="1:33" ht="90" customHeight="1">
      <c r="A5" s="40"/>
      <c r="B5" s="447" t="s">
        <v>13</v>
      </c>
      <c r="C5" s="26" t="s">
        <v>39</v>
      </c>
      <c r="D5" s="447" t="s">
        <v>34</v>
      </c>
      <c r="E5" s="449"/>
      <c r="F5" s="447" t="s">
        <v>442</v>
      </c>
      <c r="G5" s="450"/>
      <c r="H5" s="447"/>
      <c r="I5" s="449"/>
      <c r="J5" s="447" t="s">
        <v>26</v>
      </c>
      <c r="K5" s="450"/>
      <c r="L5" s="454" t="s">
        <v>307</v>
      </c>
      <c r="M5" s="450"/>
      <c r="N5" s="447" t="s">
        <v>277</v>
      </c>
      <c r="O5" s="450" t="s">
        <v>463</v>
      </c>
      <c r="P5" s="447" t="s">
        <v>374</v>
      </c>
      <c r="Q5" s="448" t="s">
        <v>449</v>
      </c>
      <c r="R5" s="41" t="s">
        <v>40</v>
      </c>
      <c r="S5" s="42"/>
      <c r="T5" s="43"/>
      <c r="U5" s="44"/>
      <c r="V5" s="36" t="s">
        <v>42</v>
      </c>
      <c r="W5" s="45" t="s">
        <v>43</v>
      </c>
      <c r="X5" s="45"/>
      <c r="Y5" s="38"/>
      <c r="AA5" s="9"/>
      <c r="AB5" s="9"/>
      <c r="AF5" s="8"/>
      <c r="AG5" s="8"/>
    </row>
    <row r="6" spans="1:33" ht="105.75" customHeight="1">
      <c r="A6" s="40"/>
      <c r="B6" s="46"/>
      <c r="D6" s="447"/>
      <c r="E6" s="556"/>
      <c r="F6" s="447"/>
      <c r="G6" s="450"/>
      <c r="H6" s="447"/>
      <c r="I6" s="449"/>
      <c r="J6" s="447"/>
      <c r="K6" s="450"/>
      <c r="L6" s="447"/>
      <c r="M6" s="448"/>
      <c r="N6" s="447"/>
      <c r="O6" s="449"/>
      <c r="P6" s="447"/>
      <c r="Q6" s="450"/>
      <c r="R6" s="47"/>
      <c r="S6" s="48"/>
      <c r="T6" s="49"/>
      <c r="U6" s="50"/>
      <c r="V6" s="36"/>
      <c r="W6" s="45"/>
      <c r="X6" s="45"/>
      <c r="Y6" s="38"/>
      <c r="AA6" s="9"/>
      <c r="AB6" s="9"/>
      <c r="AF6" s="8"/>
      <c r="AG6" s="8"/>
    </row>
    <row r="7" spans="1:33" ht="66.75" customHeight="1">
      <c r="A7" s="40"/>
      <c r="B7" s="447"/>
      <c r="C7" s="450"/>
      <c r="D7" s="447"/>
      <c r="E7" s="450"/>
      <c r="F7" s="447"/>
      <c r="G7" s="452"/>
      <c r="H7" s="447"/>
      <c r="I7" s="450"/>
      <c r="J7" s="447"/>
      <c r="K7" s="448"/>
      <c r="L7" s="455"/>
      <c r="M7" s="448"/>
      <c r="N7" s="447"/>
      <c r="O7" s="450"/>
      <c r="P7" s="456"/>
      <c r="Q7" s="452"/>
      <c r="R7" s="402"/>
      <c r="S7" s="55"/>
      <c r="T7" s="55"/>
      <c r="U7" s="55"/>
      <c r="V7" s="36" t="s">
        <v>44</v>
      </c>
      <c r="W7" s="45" t="s">
        <v>33</v>
      </c>
      <c r="X7" s="45"/>
      <c r="Y7" s="38"/>
      <c r="AA7" s="9"/>
      <c r="AB7" s="9"/>
      <c r="AF7" s="8"/>
      <c r="AG7" s="8"/>
    </row>
    <row r="8" spans="1:33" ht="75">
      <c r="A8" s="40"/>
      <c r="B8" s="457"/>
      <c r="C8" s="458"/>
      <c r="D8" s="457"/>
      <c r="E8" s="450"/>
      <c r="F8" s="447"/>
      <c r="G8" s="449"/>
      <c r="H8" s="447"/>
      <c r="I8" s="449"/>
      <c r="J8" s="457"/>
      <c r="K8" s="459" t="s">
        <v>45</v>
      </c>
      <c r="L8" s="460"/>
      <c r="M8" s="459"/>
      <c r="N8" s="447"/>
      <c r="O8" s="450"/>
      <c r="P8" s="457"/>
      <c r="Q8" s="461"/>
      <c r="R8" s="49"/>
      <c r="S8" s="55"/>
      <c r="T8" s="55" t="s">
        <v>46</v>
      </c>
      <c r="U8" s="55"/>
      <c r="V8" s="58" t="s">
        <v>47</v>
      </c>
      <c r="W8" s="45" t="s">
        <v>48</v>
      </c>
      <c r="X8" s="38"/>
      <c r="Y8" s="38"/>
      <c r="AA8" s="9"/>
      <c r="AB8" s="9"/>
      <c r="AF8" s="8"/>
      <c r="AG8" s="8"/>
    </row>
    <row r="9" spans="1:33" ht="74">
      <c r="A9" s="40"/>
      <c r="B9" s="462"/>
      <c r="C9" s="463">
        <v>2.5</v>
      </c>
      <c r="D9" s="464"/>
      <c r="E9" s="463">
        <v>2.75</v>
      </c>
      <c r="F9" s="464"/>
      <c r="G9" s="463">
        <v>3</v>
      </c>
      <c r="H9" s="465">
        <v>2</v>
      </c>
      <c r="I9" s="463">
        <f>H9-I11</f>
        <v>2</v>
      </c>
      <c r="J9" s="464"/>
      <c r="K9" s="463">
        <v>3</v>
      </c>
      <c r="L9" s="464">
        <v>3</v>
      </c>
      <c r="M9" s="463">
        <f>L9-M11</f>
        <v>2.6</v>
      </c>
      <c r="N9" s="466">
        <v>2</v>
      </c>
      <c r="O9" s="463">
        <f>N9-O11</f>
        <v>2</v>
      </c>
      <c r="P9" s="457">
        <v>2.25</v>
      </c>
      <c r="Q9" s="467">
        <f>P9-Q11</f>
        <v>1.55</v>
      </c>
      <c r="R9" s="544"/>
      <c r="S9" s="66"/>
      <c r="T9" s="67"/>
      <c r="U9" s="67"/>
      <c r="V9" s="68" t="s">
        <v>49</v>
      </c>
      <c r="W9" s="45" t="s">
        <v>50</v>
      </c>
      <c r="X9" s="38"/>
      <c r="Y9" s="38"/>
      <c r="AA9" s="9"/>
      <c r="AB9" s="9"/>
      <c r="AF9" s="8"/>
      <c r="AG9" s="8"/>
    </row>
    <row r="10" spans="1:33" ht="74">
      <c r="A10" s="40"/>
      <c r="B10" s="468"/>
      <c r="C10" s="469"/>
      <c r="D10" s="466"/>
      <c r="E10" s="470"/>
      <c r="F10" s="471"/>
      <c r="G10" s="472"/>
      <c r="H10" s="473"/>
      <c r="I10" s="470"/>
      <c r="J10" s="468"/>
      <c r="K10" s="474"/>
      <c r="L10" s="475"/>
      <c r="M10" s="474"/>
      <c r="N10" s="447"/>
      <c r="O10" s="449"/>
      <c r="P10" s="457"/>
      <c r="Q10" s="452"/>
      <c r="R10" s="435">
        <v>13</v>
      </c>
      <c r="S10" s="67"/>
      <c r="T10" s="67"/>
      <c r="U10" s="67"/>
      <c r="V10" s="58" t="s">
        <v>51</v>
      </c>
      <c r="W10" s="45" t="s">
        <v>25</v>
      </c>
      <c r="X10" s="38"/>
      <c r="Y10" s="38"/>
      <c r="AA10" s="9"/>
      <c r="AB10" s="9"/>
      <c r="AF10" s="8"/>
      <c r="AG10" s="8"/>
    </row>
    <row r="11" spans="1:33" ht="119.25" customHeight="1" thickBot="1">
      <c r="A11" s="441" t="s">
        <v>52</v>
      </c>
      <c r="B11" s="476"/>
      <c r="C11" s="477"/>
      <c r="D11" s="478"/>
      <c r="E11" s="479"/>
      <c r="F11" s="480"/>
      <c r="G11" s="477"/>
      <c r="H11" s="481" t="s">
        <v>53</v>
      </c>
      <c r="I11" s="482">
        <v>0</v>
      </c>
      <c r="J11" s="480"/>
      <c r="K11" s="483"/>
      <c r="L11" s="481" t="s">
        <v>53</v>
      </c>
      <c r="M11" s="483">
        <v>0.4</v>
      </c>
      <c r="N11" s="481" t="s">
        <v>53</v>
      </c>
      <c r="O11" s="482">
        <v>0</v>
      </c>
      <c r="P11" s="480" t="s">
        <v>54</v>
      </c>
      <c r="Q11" s="484">
        <v>0.7</v>
      </c>
      <c r="R11" s="537" t="s">
        <v>319</v>
      </c>
      <c r="S11" s="446" t="s">
        <v>329</v>
      </c>
      <c r="T11" s="537" t="s">
        <v>315</v>
      </c>
      <c r="U11" s="399"/>
      <c r="V11" s="68" t="s">
        <v>56</v>
      </c>
      <c r="W11" s="45" t="s">
        <v>57</v>
      </c>
      <c r="X11" s="94"/>
      <c r="Y11" s="94"/>
      <c r="AA11" s="9"/>
      <c r="AB11" s="9"/>
      <c r="AC11" s="95"/>
      <c r="AF11" s="8"/>
      <c r="AG11" s="8"/>
    </row>
    <row r="12" spans="1:33" ht="182.25" customHeight="1" thickTop="1">
      <c r="A12" s="436" t="s">
        <v>58</v>
      </c>
      <c r="B12" s="549" t="s">
        <v>319</v>
      </c>
      <c r="C12" s="526" t="s">
        <v>213</v>
      </c>
      <c r="D12" s="533" t="s">
        <v>190</v>
      </c>
      <c r="E12" s="526" t="s">
        <v>59</v>
      </c>
      <c r="F12" s="525" t="s">
        <v>322</v>
      </c>
      <c r="G12" s="504" t="s">
        <v>331</v>
      </c>
      <c r="H12" s="527" t="s">
        <v>323</v>
      </c>
      <c r="I12" s="526" t="s">
        <v>59</v>
      </c>
      <c r="J12" s="527" t="s">
        <v>324</v>
      </c>
      <c r="K12" s="504" t="s">
        <v>363</v>
      </c>
      <c r="L12" s="563" t="s">
        <v>450</v>
      </c>
      <c r="M12" s="504" t="s">
        <v>213</v>
      </c>
      <c r="N12" s="534" t="s">
        <v>445</v>
      </c>
      <c r="O12" s="504" t="s">
        <v>213</v>
      </c>
      <c r="P12" s="536" t="s">
        <v>327</v>
      </c>
      <c r="Q12" s="530" t="s">
        <v>331</v>
      </c>
      <c r="R12" s="537" t="s">
        <v>190</v>
      </c>
      <c r="S12" s="537" t="s">
        <v>66</v>
      </c>
      <c r="T12" s="444" t="s">
        <v>67</v>
      </c>
      <c r="U12" s="400"/>
      <c r="V12" s="102" t="s">
        <v>68</v>
      </c>
      <c r="W12" s="103" t="s">
        <v>69</v>
      </c>
      <c r="X12" s="38"/>
      <c r="Y12" s="38"/>
      <c r="AA12" s="104"/>
      <c r="AB12" s="104"/>
      <c r="AC12" s="105"/>
      <c r="AD12" s="104"/>
      <c r="AE12" s="104"/>
      <c r="AF12" s="8"/>
      <c r="AG12" s="8"/>
    </row>
    <row r="13" spans="1:33" ht="145.5" customHeight="1">
      <c r="A13" s="96"/>
      <c r="B13" s="569" t="s">
        <v>263</v>
      </c>
      <c r="C13" s="505" t="s">
        <v>39</v>
      </c>
      <c r="D13" s="567" t="s">
        <v>415</v>
      </c>
      <c r="E13" s="531" t="s">
        <v>261</v>
      </c>
      <c r="F13" s="569" t="s">
        <v>263</v>
      </c>
      <c r="G13" s="531" t="s">
        <v>36</v>
      </c>
      <c r="H13" s="567" t="s">
        <v>447</v>
      </c>
      <c r="I13" s="531" t="s">
        <v>78</v>
      </c>
      <c r="J13" s="567" t="s">
        <v>446</v>
      </c>
      <c r="K13" s="531" t="s">
        <v>36</v>
      </c>
      <c r="L13" s="567" t="s">
        <v>446</v>
      </c>
      <c r="M13" s="531" t="s">
        <v>74</v>
      </c>
      <c r="N13" s="552"/>
      <c r="O13" s="531"/>
      <c r="P13" s="563" t="s">
        <v>415</v>
      </c>
      <c r="Q13" s="579" t="s">
        <v>72</v>
      </c>
      <c r="R13" s="445" t="s">
        <v>426</v>
      </c>
      <c r="S13" s="575" t="s">
        <v>451</v>
      </c>
      <c r="T13" s="538"/>
      <c r="U13" s="400"/>
      <c r="V13" s="110" t="s">
        <v>76</v>
      </c>
      <c r="W13" s="111" t="s">
        <v>77</v>
      </c>
      <c r="X13" s="38"/>
      <c r="Y13" s="38"/>
      <c r="AA13" s="46"/>
      <c r="AB13" s="112"/>
      <c r="AC13" s="113"/>
      <c r="AD13" s="114"/>
      <c r="AF13" s="8"/>
      <c r="AG13" s="8"/>
    </row>
    <row r="14" spans="1:33" ht="130" customHeight="1">
      <c r="A14" s="96"/>
      <c r="B14" s="550"/>
      <c r="C14" s="531"/>
      <c r="D14" s="567"/>
      <c r="E14" s="531"/>
      <c r="F14" s="567" t="s">
        <v>415</v>
      </c>
      <c r="G14" s="531" t="s">
        <v>74</v>
      </c>
      <c r="H14" s="563"/>
      <c r="I14" s="531"/>
      <c r="J14" s="552" t="s">
        <v>447</v>
      </c>
      <c r="K14" s="504" t="s">
        <v>39</v>
      </c>
      <c r="L14" s="567" t="s">
        <v>447</v>
      </c>
      <c r="M14" s="531" t="s">
        <v>72</v>
      </c>
      <c r="N14" s="550"/>
      <c r="O14" s="531"/>
      <c r="P14" s="550"/>
      <c r="Q14" s="531"/>
      <c r="R14" s="519" t="s">
        <v>318</v>
      </c>
      <c r="S14" s="537" t="s">
        <v>207</v>
      </c>
      <c r="T14" s="524"/>
      <c r="U14" s="401"/>
      <c r="V14" s="116" t="s">
        <v>79</v>
      </c>
      <c r="W14" s="117" t="s">
        <v>80</v>
      </c>
      <c r="X14" s="38"/>
      <c r="Y14" s="38"/>
      <c r="AA14" s="118"/>
      <c r="AB14" s="119"/>
      <c r="AC14" s="120"/>
      <c r="AD14" s="121"/>
      <c r="AE14" s="9" t="s">
        <v>81</v>
      </c>
      <c r="AF14" s="8"/>
      <c r="AG14" s="8"/>
    </row>
    <row r="15" spans="1:33" ht="151.5" customHeight="1">
      <c r="A15" s="40"/>
      <c r="B15" s="550"/>
      <c r="C15" s="531"/>
      <c r="D15" s="486"/>
      <c r="E15" s="531"/>
      <c r="F15" s="552"/>
      <c r="G15" s="531"/>
      <c r="H15" s="486"/>
      <c r="I15" s="531"/>
      <c r="J15" s="552"/>
      <c r="K15" s="504"/>
      <c r="L15" s="535"/>
      <c r="M15" s="531"/>
      <c r="N15" s="488"/>
      <c r="O15" s="520"/>
      <c r="P15" s="471"/>
      <c r="Q15" s="485"/>
      <c r="R15" s="519" t="s">
        <v>82</v>
      </c>
      <c r="S15" s="537" t="s">
        <v>462</v>
      </c>
      <c r="T15" s="524"/>
      <c r="U15" s="401"/>
      <c r="V15" s="122" t="s">
        <v>83</v>
      </c>
      <c r="W15" s="123"/>
      <c r="X15" s="38"/>
      <c r="Y15" s="38"/>
      <c r="AE15" s="9" t="s">
        <v>81</v>
      </c>
      <c r="AF15" s="8"/>
      <c r="AG15" s="8"/>
    </row>
    <row r="16" spans="1:33" s="130" customFormat="1" ht="108" customHeight="1" thickBot="1">
      <c r="A16" s="124"/>
      <c r="B16" s="513"/>
      <c r="C16" s="450"/>
      <c r="D16" s="518"/>
      <c r="E16" s="514"/>
      <c r="F16" s="513"/>
      <c r="G16" s="450"/>
      <c r="H16" s="515"/>
      <c r="I16" s="450"/>
      <c r="J16" s="550"/>
      <c r="K16" s="531"/>
      <c r="L16" s="517"/>
      <c r="M16" s="516"/>
      <c r="N16" s="513"/>
      <c r="O16" s="521"/>
      <c r="P16" s="513"/>
      <c r="Q16" s="490"/>
      <c r="R16" s="444" t="s">
        <v>65</v>
      </c>
      <c r="S16" s="555" t="s">
        <v>262</v>
      </c>
      <c r="T16" s="524"/>
      <c r="U16" s="399"/>
      <c r="V16" s="132" t="s">
        <v>84</v>
      </c>
      <c r="W16" s="133"/>
      <c r="X16" s="134"/>
      <c r="Y16" s="134"/>
      <c r="AA16" s="135"/>
      <c r="AB16" s="8"/>
      <c r="AC16" s="136"/>
      <c r="AD16" s="8"/>
      <c r="AE16" s="136" t="s">
        <v>81</v>
      </c>
    </row>
    <row r="17" spans="1:62" ht="110" customHeight="1">
      <c r="A17" s="40"/>
      <c r="B17" s="487"/>
      <c r="C17" s="491"/>
      <c r="D17" s="576" t="s">
        <v>66</v>
      </c>
      <c r="E17" s="492" t="s">
        <v>39</v>
      </c>
      <c r="F17" s="518" t="s">
        <v>205</v>
      </c>
      <c r="G17" s="493" t="s">
        <v>36</v>
      </c>
      <c r="H17" s="494"/>
      <c r="I17" s="495"/>
      <c r="J17" s="447"/>
      <c r="K17" s="449"/>
      <c r="L17" s="553"/>
      <c r="M17" s="495"/>
      <c r="N17" s="553" t="s">
        <v>315</v>
      </c>
      <c r="O17" s="495" t="s">
        <v>87</v>
      </c>
      <c r="P17" s="577" t="s">
        <v>54</v>
      </c>
      <c r="Q17" s="578">
        <v>0.4</v>
      </c>
      <c r="R17" s="589" t="s">
        <v>423</v>
      </c>
      <c r="S17" s="590"/>
      <c r="T17" s="591"/>
      <c r="U17" s="592"/>
      <c r="V17" s="143" t="s">
        <v>88</v>
      </c>
      <c r="W17" s="123"/>
      <c r="X17" s="38"/>
      <c r="Y17" s="38"/>
      <c r="AA17" s="144"/>
      <c r="AB17" s="145"/>
      <c r="AC17" s="136"/>
      <c r="AD17" s="146"/>
      <c r="AF17" s="8"/>
      <c r="AG17" s="8"/>
    </row>
    <row r="18" spans="1:62" ht="100" customHeight="1" thickBot="1">
      <c r="A18" s="147"/>
      <c r="B18" s="498">
        <f>B51</f>
        <v>1.5592783505154637</v>
      </c>
      <c r="C18" s="499"/>
      <c r="D18" s="498">
        <f>D51</f>
        <v>1.71520618556701</v>
      </c>
      <c r="E18" s="500"/>
      <c r="F18" s="498">
        <f>F51</f>
        <v>1.8711340206185565</v>
      </c>
      <c r="G18" s="499"/>
      <c r="H18" s="498">
        <f>H51</f>
        <v>1.2474226804123709</v>
      </c>
      <c r="I18" s="499"/>
      <c r="J18" s="501">
        <f>J51</f>
        <v>1.8711340206185565</v>
      </c>
      <c r="K18" s="499"/>
      <c r="L18" s="501">
        <f>L51</f>
        <v>1.6216494845360825</v>
      </c>
      <c r="M18" s="499"/>
      <c r="N18" s="498">
        <f>N51</f>
        <v>1.2474226804123709</v>
      </c>
      <c r="O18" s="500"/>
      <c r="P18" s="502">
        <f>P51</f>
        <v>0.96675257731958752</v>
      </c>
      <c r="Q18" s="500">
        <f>P18+Q17</f>
        <v>1.3667525773195877</v>
      </c>
      <c r="R18" s="593"/>
      <c r="S18" s="594"/>
      <c r="T18" s="594"/>
      <c r="U18" s="595"/>
      <c r="V18" s="153" t="s">
        <v>89</v>
      </c>
      <c r="W18" s="154"/>
      <c r="X18" s="94"/>
      <c r="Y18" s="94"/>
      <c r="AA18" s="155"/>
      <c r="AB18" s="156"/>
      <c r="AC18" s="157"/>
      <c r="AD18" s="146"/>
      <c r="AF18" s="8"/>
      <c r="AG18" s="8"/>
    </row>
    <row r="19" spans="1:62" ht="408.75" customHeight="1" thickTop="1">
      <c r="A19" s="51"/>
      <c r="B19" s="510"/>
      <c r="C19" s="511"/>
      <c r="D19" s="510" t="s">
        <v>467</v>
      </c>
      <c r="E19" s="511" t="s">
        <v>469</v>
      </c>
      <c r="F19" s="550" t="s">
        <v>464</v>
      </c>
      <c r="G19" s="505" t="s">
        <v>466</v>
      </c>
      <c r="H19" s="510"/>
      <c r="I19" s="511"/>
      <c r="J19" s="528" t="s">
        <v>253</v>
      </c>
      <c r="K19" s="511" t="s">
        <v>252</v>
      </c>
      <c r="L19" s="510" t="s">
        <v>464</v>
      </c>
      <c r="M19" s="504" t="s">
        <v>468</v>
      </c>
      <c r="N19" s="562"/>
      <c r="O19" s="504"/>
      <c r="P19" s="510"/>
      <c r="Q19" s="511"/>
      <c r="R19" s="596" t="s">
        <v>90</v>
      </c>
      <c r="S19" s="597"/>
      <c r="T19" s="597"/>
      <c r="U19" s="598"/>
      <c r="V19" s="161"/>
      <c r="W19" s="117"/>
      <c r="X19" s="162"/>
      <c r="Y19" s="38"/>
      <c r="AA19" s="155"/>
      <c r="AB19" s="156"/>
      <c r="AC19" s="157"/>
      <c r="AD19" s="146"/>
      <c r="AF19" s="8"/>
      <c r="AG19" s="8"/>
      <c r="BI19" s="8" t="s">
        <v>91</v>
      </c>
      <c r="BJ19" s="8" t="s">
        <v>92</v>
      </c>
    </row>
    <row r="20" spans="1:62" ht="400" customHeight="1" thickBot="1">
      <c r="A20" s="51"/>
      <c r="B20" s="504"/>
      <c r="C20" s="504"/>
      <c r="D20" s="503"/>
      <c r="E20" s="504"/>
      <c r="F20" s="509" t="s">
        <v>467</v>
      </c>
      <c r="G20" s="507" t="s">
        <v>466</v>
      </c>
      <c r="H20" s="510"/>
      <c r="I20" s="504"/>
      <c r="J20" s="503" t="s">
        <v>7</v>
      </c>
      <c r="K20" s="507" t="s">
        <v>465</v>
      </c>
      <c r="L20" s="506" t="s">
        <v>467</v>
      </c>
      <c r="M20" s="504" t="s">
        <v>260</v>
      </c>
      <c r="N20" s="503"/>
      <c r="O20" s="504"/>
      <c r="P20" s="503"/>
      <c r="Q20" s="504"/>
      <c r="R20" s="545"/>
      <c r="S20" s="164"/>
      <c r="T20" s="164"/>
      <c r="U20" s="165"/>
      <c r="V20" s="161"/>
      <c r="W20" s="117"/>
      <c r="X20" s="162"/>
      <c r="Y20" s="38"/>
      <c r="AA20" s="155"/>
      <c r="AB20" s="156"/>
      <c r="AC20" s="157"/>
      <c r="AD20" s="146"/>
      <c r="AF20" s="8"/>
      <c r="AG20" s="8"/>
    </row>
    <row r="21" spans="1:62" ht="388.5" customHeight="1" thickBot="1">
      <c r="A21" s="51"/>
      <c r="B21" s="56"/>
      <c r="C21" s="107"/>
      <c r="D21" s="56"/>
      <c r="E21" s="107"/>
      <c r="F21" s="72"/>
      <c r="G21" s="167"/>
      <c r="H21" s="509"/>
      <c r="I21" s="504"/>
      <c r="J21" s="503"/>
      <c r="K21" s="507"/>
      <c r="L21" s="506"/>
      <c r="M21" s="504"/>
      <c r="N21" s="24"/>
      <c r="O21" s="107"/>
      <c r="P21" s="24"/>
      <c r="Q21" s="20"/>
      <c r="R21" s="168"/>
      <c r="S21" s="602" t="s">
        <v>93</v>
      </c>
      <c r="T21" s="602"/>
      <c r="U21" s="603"/>
      <c r="V21" s="161"/>
      <c r="W21" s="117"/>
      <c r="X21" s="162"/>
      <c r="Y21" s="38"/>
      <c r="AA21" s="155"/>
      <c r="AB21" s="156"/>
      <c r="AC21" s="157"/>
      <c r="AD21" s="146"/>
      <c r="AF21" s="8"/>
      <c r="AG21" s="8"/>
    </row>
    <row r="22" spans="1:62" ht="68">
      <c r="A22" s="19"/>
      <c r="D22" s="46"/>
      <c r="F22" s="170"/>
      <c r="G22" s="171"/>
      <c r="H22" s="510"/>
      <c r="I22" s="107"/>
      <c r="J22" s="46"/>
      <c r="L22" s="173" t="s">
        <v>117</v>
      </c>
      <c r="M22" s="172"/>
      <c r="N22" s="503"/>
      <c r="O22" s="504"/>
      <c r="P22" s="176"/>
      <c r="Q22" s="177"/>
      <c r="R22" s="604"/>
      <c r="S22" s="605"/>
      <c r="T22" s="605"/>
      <c r="U22" s="606"/>
      <c r="V22" s="110"/>
      <c r="W22" s="178"/>
      <c r="X22" s="179"/>
      <c r="Y22" s="180"/>
      <c r="AA22" s="181" t="s">
        <v>94</v>
      </c>
      <c r="AB22" s="156" t="s">
        <v>95</v>
      </c>
      <c r="AC22" s="136"/>
      <c r="AF22" s="8"/>
      <c r="AG22" s="8"/>
    </row>
    <row r="23" spans="1:62" ht="336" customHeight="1" thickBot="1">
      <c r="A23" s="96"/>
      <c r="B23" s="56"/>
      <c r="C23" s="182"/>
      <c r="D23" s="46"/>
      <c r="F23" s="183"/>
      <c r="G23" s="182"/>
      <c r="H23" s="184"/>
      <c r="I23" s="158"/>
      <c r="J23" s="72"/>
      <c r="L23" s="159"/>
      <c r="M23" s="185"/>
      <c r="N23" s="186"/>
      <c r="O23" s="187"/>
      <c r="P23" s="159"/>
      <c r="Q23" s="177"/>
      <c r="R23" s="607"/>
      <c r="S23" s="608"/>
      <c r="T23" s="608"/>
      <c r="U23" s="609"/>
      <c r="V23" s="110"/>
      <c r="W23" s="178"/>
      <c r="X23" s="179"/>
      <c r="Y23" s="180"/>
      <c r="AA23" s="181"/>
      <c r="AB23" s="156"/>
      <c r="AC23" s="136"/>
      <c r="AF23" s="8"/>
      <c r="AG23" s="8"/>
    </row>
    <row r="24" spans="1:62" ht="190.5" customHeight="1">
      <c r="A24" s="96"/>
      <c r="B24" s="24"/>
      <c r="C24" s="158"/>
      <c r="D24" s="184"/>
      <c r="E24" s="172"/>
      <c r="F24" s="184"/>
      <c r="G24" s="158"/>
      <c r="H24" s="184"/>
      <c r="I24" s="158"/>
      <c r="J24" s="184"/>
      <c r="K24" s="20"/>
      <c r="L24" s="24"/>
      <c r="M24" s="20"/>
      <c r="N24" s="173"/>
      <c r="O24" s="172"/>
      <c r="P24" s="159"/>
      <c r="Q24" s="177"/>
      <c r="R24" s="188"/>
      <c r="S24" s="189"/>
      <c r="T24" s="190"/>
      <c r="U24" s="189"/>
      <c r="V24" s="110"/>
      <c r="W24" s="178"/>
      <c r="X24" s="179"/>
      <c r="Y24" s="180"/>
      <c r="AA24" s="191" t="s">
        <v>96</v>
      </c>
      <c r="AB24" s="192"/>
      <c r="AC24" s="136"/>
      <c r="AF24" s="8"/>
      <c r="AG24" s="8"/>
    </row>
    <row r="25" spans="1:62" ht="124.5" customHeight="1">
      <c r="A25" s="96"/>
      <c r="B25" s="184"/>
      <c r="C25" s="158"/>
      <c r="D25" s="184"/>
      <c r="E25" s="172"/>
      <c r="F25" s="184"/>
      <c r="G25" s="158"/>
      <c r="H25" s="184"/>
      <c r="I25" s="158"/>
      <c r="J25" s="184"/>
      <c r="K25" s="172"/>
      <c r="L25" s="173"/>
      <c r="M25" s="172"/>
      <c r="N25" s="173"/>
      <c r="O25" s="172"/>
      <c r="P25" s="159"/>
      <c r="Q25" s="193"/>
      <c r="R25" s="49"/>
      <c r="S25" s="49"/>
      <c r="T25" s="194"/>
      <c r="U25" s="50"/>
      <c r="V25" s="110"/>
      <c r="W25" s="178"/>
      <c r="X25" s="179"/>
      <c r="Y25" s="180"/>
      <c r="AA25" s="191"/>
      <c r="AB25" s="192"/>
      <c r="AC25" s="136"/>
      <c r="AF25" s="8"/>
      <c r="AG25" s="8"/>
    </row>
    <row r="26" spans="1:62" ht="144" customHeight="1">
      <c r="A26" s="96"/>
      <c r="B26" s="56"/>
      <c r="C26" s="182"/>
      <c r="D26" s="176"/>
      <c r="E26" s="195"/>
      <c r="F26" s="196"/>
      <c r="G26" s="107"/>
      <c r="H26" s="24"/>
      <c r="I26" s="20"/>
      <c r="J26" s="24"/>
      <c r="K26" s="20"/>
      <c r="L26" s="24"/>
      <c r="M26" s="20"/>
      <c r="N26" s="24"/>
      <c r="O26" s="20"/>
      <c r="P26" s="56"/>
      <c r="Q26" s="197"/>
      <c r="S26" s="49"/>
      <c r="T26" s="189"/>
      <c r="U26" s="49"/>
      <c r="V26" s="198"/>
      <c r="W26" s="199"/>
      <c r="X26" s="200"/>
      <c r="Y26" s="201"/>
      <c r="AA26" s="202" t="s">
        <v>97</v>
      </c>
      <c r="AB26" s="192"/>
      <c r="AC26" s="136"/>
      <c r="AF26" s="8"/>
      <c r="AG26" s="8"/>
    </row>
    <row r="27" spans="1:62" ht="48" customHeight="1">
      <c r="A27" s="96"/>
      <c r="B27" s="24"/>
      <c r="C27" s="20"/>
      <c r="D27" s="196"/>
      <c r="E27" s="20"/>
      <c r="F27" s="196"/>
      <c r="G27" s="203"/>
      <c r="H27" s="204"/>
      <c r="I27" s="20"/>
      <c r="J27" s="24"/>
      <c r="K27" s="107"/>
      <c r="L27" s="56"/>
      <c r="M27" s="107"/>
      <c r="N27" s="56"/>
      <c r="O27" s="107"/>
      <c r="P27" s="56"/>
      <c r="Q27" s="197"/>
      <c r="R27" s="205"/>
      <c r="S27" s="206"/>
      <c r="T27" s="205"/>
      <c r="U27" s="205"/>
      <c r="V27" s="198"/>
      <c r="W27" s="199"/>
      <c r="X27" s="200"/>
      <c r="Y27" s="201"/>
      <c r="AA27" s="207"/>
      <c r="AB27" s="192"/>
      <c r="AC27" s="136"/>
      <c r="AD27" s="8"/>
      <c r="AF27" s="8"/>
      <c r="AG27" s="8"/>
    </row>
    <row r="28" spans="1:62" ht="33" customHeight="1">
      <c r="A28" s="96"/>
      <c r="B28" s="208"/>
      <c r="C28" s="209"/>
      <c r="D28" s="20"/>
      <c r="E28" s="20"/>
      <c r="F28" s="24"/>
      <c r="G28" s="182"/>
      <c r="H28" s="24"/>
      <c r="I28" s="20"/>
      <c r="J28" s="24"/>
      <c r="K28" s="20"/>
      <c r="L28" s="24"/>
      <c r="M28" s="20"/>
      <c r="N28" s="24"/>
      <c r="O28" s="20"/>
      <c r="P28" s="56"/>
      <c r="Q28" s="197"/>
      <c r="R28" s="93"/>
      <c r="S28" s="93"/>
      <c r="T28" s="49"/>
      <c r="U28" s="93"/>
      <c r="V28" s="210"/>
      <c r="W28" s="199"/>
      <c r="X28" s="200"/>
      <c r="Y28" s="201"/>
      <c r="AA28" s="46"/>
      <c r="AB28" s="192"/>
      <c r="AC28" s="136"/>
      <c r="AF28" s="8"/>
      <c r="AG28" s="8"/>
    </row>
    <row r="29" spans="1:62" ht="144.75" customHeight="1">
      <c r="A29" s="96"/>
      <c r="B29" s="56"/>
      <c r="C29" s="209"/>
      <c r="D29" s="20"/>
      <c r="E29" s="20"/>
      <c r="F29" s="183"/>
      <c r="G29" s="182"/>
      <c r="H29" s="196"/>
      <c r="I29" s="20"/>
      <c r="J29" s="211"/>
      <c r="K29" s="175"/>
      <c r="L29" s="174"/>
      <c r="M29" s="175"/>
      <c r="N29" s="174"/>
      <c r="O29" s="175"/>
      <c r="P29" s="56"/>
      <c r="Q29" s="212"/>
      <c r="R29" s="194"/>
      <c r="S29" s="189"/>
      <c r="U29" s="49"/>
      <c r="V29" s="213"/>
      <c r="W29" s="199"/>
      <c r="X29" s="214"/>
      <c r="Y29" s="201"/>
      <c r="AA29" s="215"/>
      <c r="AB29" s="192"/>
      <c r="AC29" s="136"/>
      <c r="AF29" s="8"/>
      <c r="AG29" s="8"/>
    </row>
    <row r="30" spans="1:62" s="192" customFormat="1" ht="83.25" customHeight="1" thickBot="1">
      <c r="A30" s="216"/>
      <c r="B30" s="217">
        <f>B44</f>
        <v>-6.8298969072165079</v>
      </c>
      <c r="C30" s="218"/>
      <c r="D30" s="219">
        <f>D44</f>
        <v>0.98711340206183706</v>
      </c>
      <c r="E30" s="220"/>
      <c r="F30" s="221">
        <f>F44</f>
        <v>7.8041237113401962</v>
      </c>
      <c r="G30" s="221"/>
      <c r="H30" s="217">
        <f>H44</f>
        <v>-10.463917525773205</v>
      </c>
      <c r="I30" s="218"/>
      <c r="J30" s="217">
        <f>J44</f>
        <v>22.804123711340196</v>
      </c>
      <c r="K30" s="222"/>
      <c r="L30" s="217">
        <f>L44</f>
        <v>7.8969072164948386</v>
      </c>
      <c r="M30" s="222"/>
      <c r="N30" s="217">
        <f>N44</f>
        <v>-10.463917525773205</v>
      </c>
      <c r="O30" s="222"/>
      <c r="P30" s="152">
        <f>P44</f>
        <v>-11.734536082474236</v>
      </c>
      <c r="Q30" s="218"/>
      <c r="R30" s="223"/>
      <c r="S30" s="224"/>
      <c r="T30" s="224"/>
      <c r="U30" s="224"/>
      <c r="V30" s="225"/>
      <c r="W30" s="226"/>
      <c r="X30" s="227"/>
      <c r="Y30" s="228"/>
      <c r="AA30" s="192" t="s">
        <v>98</v>
      </c>
    </row>
    <row r="31" spans="1:62" ht="316.5" customHeight="1" thickTop="1">
      <c r="A31" s="19"/>
      <c r="B31" s="529" t="s">
        <v>33</v>
      </c>
      <c r="C31" s="540" t="s">
        <v>99</v>
      </c>
      <c r="D31" s="529" t="s">
        <v>25</v>
      </c>
      <c r="E31" s="540" t="s">
        <v>448</v>
      </c>
      <c r="F31" s="541"/>
      <c r="G31" s="542"/>
      <c r="H31" s="543" t="s">
        <v>47</v>
      </c>
      <c r="I31" s="542" t="s">
        <v>242</v>
      </c>
      <c r="J31" s="529"/>
      <c r="K31" s="440"/>
      <c r="L31" s="547"/>
      <c r="M31" s="542"/>
      <c r="N31" s="564" t="s">
        <v>15</v>
      </c>
      <c r="O31" s="565" t="s">
        <v>99</v>
      </c>
      <c r="P31" s="548" t="s">
        <v>424</v>
      </c>
      <c r="Q31" s="540" t="s">
        <v>99</v>
      </c>
      <c r="R31" s="231" t="s">
        <v>53</v>
      </c>
      <c r="S31" s="232" t="s">
        <v>102</v>
      </c>
      <c r="T31" s="233"/>
      <c r="U31" s="234"/>
      <c r="V31" s="110"/>
      <c r="W31" s="28"/>
      <c r="X31" s="235"/>
      <c r="Y31" s="236"/>
    </row>
    <row r="32" spans="1:62" ht="284.25" customHeight="1">
      <c r="A32" s="96"/>
      <c r="B32" s="108"/>
      <c r="C32" s="107"/>
      <c r="D32" s="24"/>
      <c r="E32" s="229"/>
      <c r="F32" s="447"/>
      <c r="G32" s="229"/>
      <c r="H32" s="447"/>
      <c r="I32" s="540"/>
      <c r="J32" s="24"/>
      <c r="K32" s="229"/>
      <c r="L32" s="439"/>
      <c r="M32" s="229"/>
      <c r="N32" s="46"/>
      <c r="P32" s="529"/>
      <c r="Q32" s="566"/>
      <c r="R32" s="237" t="s">
        <v>103</v>
      </c>
      <c r="S32" s="238"/>
      <c r="T32" s="239"/>
      <c r="U32" s="234"/>
      <c r="V32" s="68"/>
      <c r="W32" s="28"/>
      <c r="X32" s="201"/>
      <c r="Y32" s="201"/>
      <c r="AA32" s="240" t="s">
        <v>104</v>
      </c>
      <c r="AB32" s="240"/>
      <c r="AC32" s="240" t="s">
        <v>105</v>
      </c>
      <c r="AD32" s="240" t="s">
        <v>106</v>
      </c>
      <c r="AE32" s="8" t="s">
        <v>107</v>
      </c>
      <c r="AF32" s="192"/>
      <c r="AG32" s="192"/>
      <c r="AH32" s="192"/>
      <c r="AI32" s="192"/>
      <c r="AJ32" s="192"/>
    </row>
    <row r="33" spans="1:33" ht="168.75" customHeight="1">
      <c r="A33" s="19"/>
      <c r="B33" s="538"/>
      <c r="C33" s="107"/>
      <c r="D33" s="242"/>
      <c r="E33" s="523"/>
      <c r="F33" s="244"/>
      <c r="G33" s="241"/>
      <c r="H33" s="24"/>
      <c r="I33" s="230"/>
      <c r="J33" s="72"/>
      <c r="K33" s="20"/>
      <c r="L33" s="24"/>
      <c r="M33" s="20"/>
      <c r="N33" s="24"/>
      <c r="O33" s="229"/>
      <c r="P33" s="24"/>
      <c r="Q33" s="107"/>
      <c r="R33" s="245" t="s">
        <v>108</v>
      </c>
      <c r="S33" s="246" t="s">
        <v>321</v>
      </c>
      <c r="T33" s="232" t="s">
        <v>109</v>
      </c>
      <c r="U33" s="247" t="s">
        <v>312</v>
      </c>
      <c r="V33" s="68"/>
      <c r="W33" s="123"/>
      <c r="X33" s="201"/>
      <c r="Y33" s="201"/>
      <c r="AA33" s="9" t="s">
        <v>111</v>
      </c>
      <c r="AB33" s="9"/>
      <c r="AC33" s="9" t="s">
        <v>105</v>
      </c>
      <c r="AD33" s="9" t="s">
        <v>112</v>
      </c>
      <c r="AE33" s="9" t="s">
        <v>113</v>
      </c>
      <c r="AF33" s="8"/>
      <c r="AG33" s="8"/>
    </row>
    <row r="34" spans="1:33" ht="94.5" customHeight="1">
      <c r="A34" s="19"/>
      <c r="B34" s="248"/>
      <c r="C34" s="20"/>
      <c r="D34" s="54"/>
      <c r="E34" s="249"/>
      <c r="F34" s="56"/>
      <c r="G34" s="20"/>
      <c r="H34" s="56"/>
      <c r="I34" s="57"/>
      <c r="J34" s="250"/>
      <c r="K34" s="241"/>
      <c r="L34" s="251"/>
      <c r="M34" s="241"/>
      <c r="N34" s="24"/>
      <c r="O34" s="241"/>
      <c r="P34" s="56"/>
      <c r="Q34" s="57"/>
      <c r="R34" s="252" t="s">
        <v>114</v>
      </c>
      <c r="S34" s="253" t="s">
        <v>115</v>
      </c>
      <c r="T34" s="233" t="s">
        <v>116</v>
      </c>
      <c r="U34" s="49"/>
      <c r="V34" s="68"/>
      <c r="W34" s="123"/>
      <c r="X34" s="201"/>
      <c r="Y34" s="201" t="s">
        <v>117</v>
      </c>
      <c r="AA34" s="9" t="s">
        <v>2</v>
      </c>
      <c r="AB34" s="9"/>
      <c r="AC34" s="9" t="s">
        <v>105</v>
      </c>
      <c r="AD34" s="9" t="s">
        <v>118</v>
      </c>
      <c r="AE34" s="9" t="s">
        <v>113</v>
      </c>
      <c r="AF34" s="8"/>
      <c r="AG34" s="8"/>
    </row>
    <row r="35" spans="1:33" ht="34.5" customHeight="1">
      <c r="A35" s="254"/>
      <c r="B35" s="59"/>
      <c r="C35" s="255"/>
      <c r="D35" s="59"/>
      <c r="E35" s="20"/>
      <c r="F35" s="248"/>
      <c r="G35" s="20"/>
      <c r="H35" s="256"/>
      <c r="I35" s="255"/>
      <c r="J35" s="257"/>
      <c r="K35" s="258"/>
      <c r="L35" s="257"/>
      <c r="M35" s="258"/>
      <c r="N35" s="24"/>
      <c r="O35" s="258"/>
      <c r="P35" s="56"/>
      <c r="Q35" s="57"/>
      <c r="R35" s="259"/>
      <c r="S35" s="260"/>
      <c r="T35" s="260"/>
      <c r="U35" s="261"/>
      <c r="V35" s="68"/>
      <c r="W35" s="123"/>
      <c r="X35" s="200"/>
      <c r="Y35" s="201"/>
      <c r="AA35" s="9" t="s">
        <v>119</v>
      </c>
      <c r="AB35" s="9"/>
      <c r="AC35" s="9" t="s">
        <v>120</v>
      </c>
      <c r="AD35" s="9" t="s">
        <v>121</v>
      </c>
      <c r="AE35" s="9" t="s">
        <v>122</v>
      </c>
      <c r="AF35" s="8" t="s">
        <v>107</v>
      </c>
      <c r="AG35" s="8"/>
    </row>
    <row r="36" spans="1:33" ht="34.5" customHeight="1" thickBot="1">
      <c r="A36" s="262"/>
      <c r="B36" s="263"/>
      <c r="C36" s="264"/>
      <c r="D36" s="263"/>
      <c r="E36" s="264"/>
      <c r="F36" s="265"/>
      <c r="G36" s="265"/>
      <c r="H36" s="263"/>
      <c r="I36" s="264"/>
      <c r="J36" s="263"/>
      <c r="K36" s="265"/>
      <c r="L36" s="263"/>
      <c r="M36" s="265"/>
      <c r="N36" s="263"/>
      <c r="O36" s="265"/>
      <c r="P36" s="266"/>
      <c r="Q36" s="267"/>
      <c r="R36" s="268"/>
      <c r="S36" s="269"/>
      <c r="T36" s="269"/>
      <c r="U36" s="270"/>
      <c r="V36" s="271"/>
      <c r="W36" s="272"/>
      <c r="X36" s="228"/>
      <c r="Y36" s="228"/>
      <c r="AA36" s="9" t="s">
        <v>123</v>
      </c>
      <c r="AB36" s="9"/>
      <c r="AC36" s="9" t="s">
        <v>120</v>
      </c>
      <c r="AD36" s="9" t="s">
        <v>124</v>
      </c>
      <c r="AE36" s="9" t="s">
        <v>113</v>
      </c>
      <c r="AF36" s="8"/>
      <c r="AG36" s="8"/>
    </row>
    <row r="37" spans="1:33" ht="73.5" customHeight="1" thickTop="1">
      <c r="A37" s="273" t="s">
        <v>125</v>
      </c>
      <c r="B37" s="274" t="s">
        <v>126</v>
      </c>
      <c r="C37" s="275"/>
      <c r="D37" s="276" t="s">
        <v>127</v>
      </c>
      <c r="E37" s="200"/>
      <c r="F37" s="277"/>
      <c r="G37" s="200"/>
      <c r="H37" s="278"/>
      <c r="I37" s="200"/>
      <c r="J37" s="214"/>
      <c r="K37" s="200"/>
      <c r="L37" s="214"/>
      <c r="M37" s="200"/>
      <c r="N37" s="277"/>
      <c r="O37" s="200"/>
      <c r="P37" s="279"/>
      <c r="Q37" s="200"/>
      <c r="R37" s="280"/>
      <c r="S37" s="281"/>
      <c r="T37" s="281"/>
      <c r="U37" s="282"/>
      <c r="V37" s="274" t="s">
        <v>128</v>
      </c>
      <c r="W37" s="283"/>
      <c r="X37" s="214"/>
      <c r="Y37" s="201"/>
      <c r="AA37" s="9" t="s">
        <v>18</v>
      </c>
      <c r="AB37" s="9"/>
      <c r="AC37" s="9" t="s">
        <v>129</v>
      </c>
      <c r="AE37" s="9" t="s">
        <v>130</v>
      </c>
      <c r="AF37" s="8" t="s">
        <v>131</v>
      </c>
      <c r="AG37" s="8"/>
    </row>
    <row r="38" spans="1:33" ht="40.5" customHeight="1">
      <c r="A38" s="273"/>
      <c r="B38" s="214"/>
      <c r="C38" s="275"/>
      <c r="D38" s="200"/>
      <c r="F38" s="214"/>
      <c r="G38" s="200"/>
      <c r="H38" s="214"/>
      <c r="I38" s="200"/>
      <c r="J38" s="214"/>
      <c r="K38" s="200"/>
      <c r="L38" s="214"/>
      <c r="M38" s="200"/>
      <c r="N38" s="214"/>
      <c r="O38" s="200"/>
      <c r="P38" s="214"/>
      <c r="Q38" s="200"/>
      <c r="R38" s="214"/>
      <c r="S38" s="282"/>
      <c r="T38" s="282"/>
      <c r="U38" s="282"/>
      <c r="V38" s="274" t="s">
        <v>132</v>
      </c>
      <c r="W38" s="200"/>
      <c r="X38" s="214"/>
      <c r="Y38" s="201"/>
      <c r="AA38" s="9"/>
      <c r="AB38" s="9"/>
      <c r="AC38" s="9" t="s">
        <v>133</v>
      </c>
      <c r="AD38" s="9" t="s">
        <v>134</v>
      </c>
      <c r="AE38" s="9" t="s">
        <v>130</v>
      </c>
      <c r="AF38" s="8"/>
      <c r="AG38" s="8"/>
    </row>
    <row r="39" spans="1:33" ht="58.5" customHeight="1" thickBot="1">
      <c r="A39" s="284"/>
      <c r="B39" s="285"/>
      <c r="C39" s="286"/>
      <c r="D39" s="287"/>
      <c r="E39" s="287"/>
      <c r="F39" s="285"/>
      <c r="G39" s="287"/>
      <c r="H39" s="285"/>
      <c r="I39" s="287"/>
      <c r="J39" s="285"/>
      <c r="K39" s="287"/>
      <c r="L39" s="285"/>
      <c r="M39" s="287"/>
      <c r="N39" s="285"/>
      <c r="O39" s="287"/>
      <c r="P39" s="285"/>
      <c r="Q39" s="287"/>
      <c r="R39" s="46"/>
      <c r="T39" s="288"/>
      <c r="U39" s="288"/>
      <c r="V39" s="289"/>
      <c r="W39" s="290"/>
      <c r="X39" s="291"/>
      <c r="Y39" s="292"/>
      <c r="AA39" s="9"/>
      <c r="AB39" s="9"/>
      <c r="AF39" s="8"/>
      <c r="AG39" s="8"/>
    </row>
    <row r="40" spans="1:33" ht="31.5" customHeight="1" thickTop="1">
      <c r="A40" s="293" t="s">
        <v>135</v>
      </c>
      <c r="B40" s="294">
        <f>B45+D45+F45+H45+J45+P45+N45+L45</f>
        <v>529</v>
      </c>
      <c r="C40" s="295"/>
      <c r="D40" s="296"/>
      <c r="F40" s="296"/>
      <c r="G40" s="297"/>
      <c r="H40" s="278"/>
      <c r="I40" s="298"/>
      <c r="J40" s="278"/>
      <c r="K40" s="299"/>
      <c r="L40" s="278"/>
      <c r="M40" s="299"/>
      <c r="N40" s="278"/>
      <c r="O40" s="299"/>
      <c r="P40" s="279"/>
      <c r="Q40" s="300"/>
      <c r="R40" s="291"/>
      <c r="S40" s="288"/>
      <c r="T40" s="301"/>
      <c r="U40" s="301"/>
      <c r="V40" s="580"/>
      <c r="W40" s="581"/>
      <c r="X40" s="581"/>
      <c r="Y40" s="582"/>
      <c r="Z40" s="302"/>
      <c r="AA40" s="303"/>
    </row>
    <row r="41" spans="1:33" ht="73" thickBot="1">
      <c r="A41" s="304" t="s">
        <v>136</v>
      </c>
      <c r="B41" s="305">
        <f>SUM(B43:T43)</f>
        <v>19.400000000000002</v>
      </c>
      <c r="C41" s="295"/>
      <c r="D41" s="296"/>
      <c r="E41" s="297"/>
      <c r="F41" s="296"/>
      <c r="G41" s="297"/>
      <c r="H41" s="278"/>
      <c r="I41" s="299"/>
      <c r="J41" s="278"/>
      <c r="K41" s="299"/>
      <c r="L41" s="278"/>
      <c r="M41" s="299"/>
      <c r="N41" s="278"/>
      <c r="O41" s="299"/>
      <c r="P41" s="279"/>
      <c r="Q41" s="300"/>
      <c r="R41" s="282"/>
      <c r="S41" s="115"/>
      <c r="T41" s="301"/>
      <c r="U41" s="301"/>
      <c r="V41" s="583"/>
      <c r="W41" s="584"/>
      <c r="X41" s="584"/>
      <c r="Y41" s="585"/>
      <c r="Z41" s="302"/>
      <c r="AA41" s="303"/>
    </row>
    <row r="42" spans="1:33" ht="72">
      <c r="A42" s="304" t="s">
        <v>137</v>
      </c>
      <c r="B42" s="294">
        <f>B40/B41</f>
        <v>27.268041237113398</v>
      </c>
      <c r="C42" s="295"/>
      <c r="D42" s="296"/>
      <c r="E42" s="297"/>
      <c r="F42" s="296"/>
      <c r="G42" s="297"/>
      <c r="H42" s="278"/>
      <c r="I42" s="299"/>
      <c r="J42" s="278"/>
      <c r="K42" s="299"/>
      <c r="L42" s="278"/>
      <c r="M42" s="299"/>
      <c r="N42" s="278"/>
      <c r="O42" s="299"/>
      <c r="P42" s="279"/>
      <c r="Q42" s="300"/>
      <c r="R42" s="282"/>
      <c r="S42" s="115"/>
      <c r="T42" s="306"/>
      <c r="U42" s="306"/>
      <c r="V42" s="307"/>
      <c r="W42" s="308"/>
      <c r="X42" s="308"/>
      <c r="Y42" s="309"/>
      <c r="Z42" s="306"/>
      <c r="AA42" s="303"/>
    </row>
    <row r="43" spans="1:33" ht="72">
      <c r="A43" s="310" t="s">
        <v>138</v>
      </c>
      <c r="B43" s="305">
        <f>C9</f>
        <v>2.5</v>
      </c>
      <c r="C43" s="295"/>
      <c r="D43" s="296">
        <f>E9</f>
        <v>2.75</v>
      </c>
      <c r="E43" s="297"/>
      <c r="F43" s="296">
        <f>G9</f>
        <v>3</v>
      </c>
      <c r="G43" s="297"/>
      <c r="H43" s="278">
        <f>I9</f>
        <v>2</v>
      </c>
      <c r="I43" s="299"/>
      <c r="J43" s="278">
        <f>K9</f>
        <v>3</v>
      </c>
      <c r="K43" s="299"/>
      <c r="L43" s="278">
        <f>M9</f>
        <v>2.6</v>
      </c>
      <c r="M43" s="299"/>
      <c r="N43" s="278">
        <f>O9</f>
        <v>2</v>
      </c>
      <c r="O43" s="299"/>
      <c r="P43" s="311">
        <f>Q9</f>
        <v>1.55</v>
      </c>
      <c r="Q43" s="300"/>
      <c r="R43" s="312"/>
      <c r="S43" s="313"/>
      <c r="T43" s="313"/>
      <c r="U43" s="313"/>
      <c r="V43" s="314"/>
      <c r="W43" s="315"/>
      <c r="X43" s="315"/>
      <c r="Y43" s="316"/>
      <c r="Z43" s="317"/>
      <c r="AA43" s="303"/>
    </row>
    <row r="44" spans="1:33" ht="72">
      <c r="A44" s="304" t="s">
        <v>139</v>
      </c>
      <c r="B44" s="294">
        <f>B40/B41*B43-B45</f>
        <v>-6.8298969072165079</v>
      </c>
      <c r="C44" s="295"/>
      <c r="D44" s="318">
        <f>B40/B41*D43-D45</f>
        <v>0.98711340206183706</v>
      </c>
      <c r="E44" s="319"/>
      <c r="F44" s="318">
        <f>B40/B41*F43-F45</f>
        <v>7.8041237113401962</v>
      </c>
      <c r="G44" s="320"/>
      <c r="H44" s="321">
        <f>B40/B41*H43-H45</f>
        <v>-10.463917525773205</v>
      </c>
      <c r="I44" s="322"/>
      <c r="J44" s="321">
        <f>B40/B41*J43-J45</f>
        <v>22.804123711340196</v>
      </c>
      <c r="K44" s="322"/>
      <c r="L44" s="321">
        <f>B40/B41*L43-L45</f>
        <v>7.8969072164948386</v>
      </c>
      <c r="M44" s="322"/>
      <c r="N44" s="321">
        <f>B40/B41*N43-N45</f>
        <v>-10.463917525773205</v>
      </c>
      <c r="O44" s="322"/>
      <c r="P44" s="311">
        <f>B40/B41*P43-P45</f>
        <v>-11.734536082474236</v>
      </c>
      <c r="Q44" s="323"/>
      <c r="R44" s="324"/>
      <c r="S44" s="324"/>
      <c r="T44" s="324"/>
      <c r="U44" s="325"/>
      <c r="V44" s="326"/>
      <c r="W44" s="327"/>
      <c r="X44" s="328"/>
      <c r="Y44" s="329"/>
      <c r="Z44" s="330"/>
      <c r="AA44" s="303"/>
    </row>
    <row r="45" spans="1:33" ht="73" thickBot="1">
      <c r="A45" s="310" t="s">
        <v>140</v>
      </c>
      <c r="B45" s="294">
        <v>75</v>
      </c>
      <c r="C45" s="295"/>
      <c r="D45" s="331">
        <v>74</v>
      </c>
      <c r="E45" s="130"/>
      <c r="F45" s="318">
        <v>74</v>
      </c>
      <c r="G45" s="320"/>
      <c r="H45" s="332">
        <v>65</v>
      </c>
      <c r="J45" s="321">
        <v>59</v>
      </c>
      <c r="K45" s="322"/>
      <c r="L45" s="321">
        <v>63</v>
      </c>
      <c r="M45" s="322"/>
      <c r="N45" s="333">
        <v>65</v>
      </c>
      <c r="O45" s="322"/>
      <c r="P45" s="334">
        <v>54</v>
      </c>
      <c r="Q45" s="335"/>
      <c r="R45" s="336"/>
      <c r="S45" s="325"/>
      <c r="T45" s="336"/>
      <c r="U45" s="325"/>
      <c r="V45" s="337"/>
      <c r="W45" s="338"/>
      <c r="X45" s="339"/>
      <c r="Y45" s="340"/>
      <c r="Z45" s="330"/>
      <c r="AA45" s="303"/>
    </row>
    <row r="46" spans="1:33" ht="120.75" customHeight="1" thickBot="1">
      <c r="A46" s="341" t="s">
        <v>142</v>
      </c>
      <c r="B46" s="342" t="s">
        <v>143</v>
      </c>
      <c r="C46" s="343">
        <v>75</v>
      </c>
      <c r="D46" s="344" t="s">
        <v>144</v>
      </c>
      <c r="E46" s="345">
        <v>74</v>
      </c>
      <c r="F46" s="346" t="s">
        <v>145</v>
      </c>
      <c r="G46" s="347">
        <v>74</v>
      </c>
      <c r="H46" s="346" t="s">
        <v>146</v>
      </c>
      <c r="I46" s="347">
        <v>65</v>
      </c>
      <c r="J46" s="346" t="s">
        <v>305</v>
      </c>
      <c r="K46" s="348">
        <v>59</v>
      </c>
      <c r="L46" s="349" t="s">
        <v>349</v>
      </c>
      <c r="M46" s="348">
        <v>63</v>
      </c>
      <c r="N46" s="349" t="s">
        <v>304</v>
      </c>
      <c r="O46" s="348">
        <v>65</v>
      </c>
      <c r="P46" s="350" t="s">
        <v>151</v>
      </c>
      <c r="Q46" s="351">
        <v>54</v>
      </c>
      <c r="R46" s="325"/>
      <c r="S46" s="303"/>
      <c r="T46" s="325"/>
      <c r="U46" s="303"/>
      <c r="V46" s="352"/>
      <c r="W46" s="353"/>
      <c r="X46" s="328"/>
      <c r="Y46" s="328"/>
      <c r="Z46" s="330"/>
      <c r="AA46" s="303"/>
      <c r="AC46" s="9" t="s">
        <v>152</v>
      </c>
    </row>
    <row r="47" spans="1:33">
      <c r="A47" s="303"/>
      <c r="B47" s="354"/>
      <c r="C47" s="354"/>
      <c r="D47" s="355"/>
      <c r="E47" s="354"/>
      <c r="F47" s="354"/>
      <c r="G47" s="354"/>
      <c r="H47" s="356"/>
      <c r="I47" s="354"/>
      <c r="J47" s="356"/>
      <c r="K47" s="354"/>
      <c r="L47" s="354"/>
      <c r="M47" s="354"/>
      <c r="N47" s="354"/>
      <c r="O47" s="354"/>
      <c r="P47" s="356"/>
      <c r="Q47" s="354"/>
      <c r="R47" s="354"/>
      <c r="S47" s="354"/>
      <c r="T47" s="354"/>
      <c r="U47" s="354"/>
      <c r="V47" s="354"/>
      <c r="W47" s="354"/>
      <c r="X47" s="354"/>
      <c r="Y47" s="354"/>
      <c r="Z47" s="303"/>
      <c r="AA47" s="303"/>
    </row>
    <row r="48" spans="1:33" ht="72">
      <c r="A48" s="357" t="s">
        <v>471</v>
      </c>
      <c r="B48" s="354">
        <f>14-J69+I69+K69</f>
        <v>12.1</v>
      </c>
      <c r="C48" s="354"/>
      <c r="D48" s="308"/>
      <c r="E48" s="354"/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8"/>
      <c r="Y48" s="358"/>
    </row>
    <row r="49" spans="1:27" ht="72">
      <c r="A49" s="357" t="s">
        <v>472</v>
      </c>
      <c r="B49" s="359">
        <f>B40/B48</f>
        <v>43.719008264462808</v>
      </c>
      <c r="C49" s="354"/>
      <c r="D49" s="354"/>
      <c r="E49" s="354"/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8"/>
      <c r="Y49" s="358"/>
    </row>
    <row r="50" spans="1:27" ht="72">
      <c r="A50" s="357" t="s">
        <v>473</v>
      </c>
      <c r="B50" s="354">
        <f>B42*B43</f>
        <v>68.170103092783492</v>
      </c>
      <c r="C50" s="354"/>
      <c r="D50" s="354">
        <f>B42*D43</f>
        <v>74.987113402061837</v>
      </c>
      <c r="E50" s="354"/>
      <c r="F50" s="354">
        <f>B42*F43</f>
        <v>81.804123711340196</v>
      </c>
      <c r="G50" s="354"/>
      <c r="H50" s="359">
        <f>B42*H43</f>
        <v>54.536082474226795</v>
      </c>
      <c r="I50" s="354"/>
      <c r="J50" s="354">
        <f>B42*J43</f>
        <v>81.804123711340196</v>
      </c>
      <c r="K50" s="354"/>
      <c r="L50" s="354">
        <f>B42*L43</f>
        <v>70.896907216494839</v>
      </c>
      <c r="M50" s="354"/>
      <c r="N50" s="359">
        <f>B42*N43</f>
        <v>54.536082474226795</v>
      </c>
      <c r="O50" s="354"/>
      <c r="P50" s="354">
        <f>B42*P43</f>
        <v>42.265463917525764</v>
      </c>
      <c r="Q50" s="354"/>
      <c r="R50" s="354"/>
      <c r="S50" s="354"/>
      <c r="T50" s="354"/>
      <c r="U50" s="354"/>
      <c r="V50" s="354"/>
      <c r="W50" s="354"/>
      <c r="X50" s="354"/>
      <c r="Y50" s="354"/>
      <c r="Z50" s="303"/>
      <c r="AA50" s="303"/>
    </row>
    <row r="51" spans="1:27" ht="72">
      <c r="A51" s="357" t="s">
        <v>474</v>
      </c>
      <c r="B51" s="354">
        <f>B50/B49</f>
        <v>1.5592783505154637</v>
      </c>
      <c r="C51" s="354"/>
      <c r="D51" s="354">
        <f>D50/B49</f>
        <v>1.71520618556701</v>
      </c>
      <c r="E51" s="354"/>
      <c r="F51" s="354">
        <f>F50/B49</f>
        <v>1.8711340206185565</v>
      </c>
      <c r="G51" s="354"/>
      <c r="H51" s="354">
        <f>H50/B49</f>
        <v>1.2474226804123709</v>
      </c>
      <c r="I51" s="354"/>
      <c r="J51" s="354">
        <f>J50/B49</f>
        <v>1.8711340206185565</v>
      </c>
      <c r="K51" s="354"/>
      <c r="L51" s="354">
        <f>L50/B49</f>
        <v>1.6216494845360825</v>
      </c>
      <c r="M51" s="354"/>
      <c r="N51" s="359">
        <f>N50/B49</f>
        <v>1.2474226804123709</v>
      </c>
      <c r="O51" s="354"/>
      <c r="P51" s="354">
        <f>P50/B49</f>
        <v>0.96675257731958752</v>
      </c>
      <c r="Q51" s="354"/>
      <c r="R51" s="354"/>
      <c r="S51" s="354"/>
      <c r="T51" s="354"/>
      <c r="U51" s="354"/>
      <c r="V51" s="354"/>
      <c r="W51" s="354"/>
      <c r="X51" s="354"/>
      <c r="Y51" s="354"/>
      <c r="Z51" s="303"/>
      <c r="AA51" s="303"/>
    </row>
    <row r="52" spans="1:27">
      <c r="A52" s="303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03"/>
      <c r="AA52" s="303"/>
    </row>
    <row r="53" spans="1:27">
      <c r="A53" s="303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03"/>
      <c r="AA53" s="303"/>
    </row>
    <row r="54" spans="1:27" ht="36">
      <c r="A54" s="360" t="s">
        <v>157</v>
      </c>
      <c r="B54" s="361"/>
      <c r="C54" s="362"/>
      <c r="D54" s="362"/>
      <c r="E54" s="362"/>
      <c r="F54" s="362"/>
      <c r="G54" s="362"/>
      <c r="H54" s="362"/>
      <c r="I54" s="362"/>
      <c r="J54" s="363"/>
      <c r="K54" s="353"/>
      <c r="L54" s="353"/>
      <c r="M54" s="353"/>
      <c r="N54" s="353"/>
      <c r="O54" s="353"/>
      <c r="P54" s="353"/>
      <c r="Q54" s="353"/>
      <c r="R54" s="353"/>
      <c r="S54" s="353"/>
      <c r="T54" s="353"/>
      <c r="U54" s="353"/>
      <c r="V54" s="353"/>
      <c r="W54" s="353"/>
      <c r="X54" s="353"/>
      <c r="Y54" s="354"/>
      <c r="Z54" s="303"/>
      <c r="AA54" s="303"/>
    </row>
    <row r="55" spans="1:27">
      <c r="A55" s="303"/>
      <c r="B55" s="361" t="s">
        <v>486</v>
      </c>
      <c r="C55" s="362"/>
      <c r="D55" s="362"/>
      <c r="E55" s="362"/>
      <c r="F55" s="362"/>
      <c r="G55" s="362"/>
      <c r="H55" s="362"/>
      <c r="I55" s="362"/>
      <c r="J55" s="363"/>
      <c r="K55" s="353"/>
      <c r="L55" s="353"/>
      <c r="M55" s="353"/>
      <c r="N55" s="353"/>
      <c r="O55" s="353"/>
      <c r="P55" s="353"/>
      <c r="Q55" s="353"/>
      <c r="R55" s="353"/>
      <c r="S55" s="353"/>
      <c r="T55" s="353"/>
      <c r="U55" s="353"/>
      <c r="V55" s="353"/>
      <c r="W55" s="353"/>
      <c r="X55" s="353"/>
      <c r="Y55" s="354"/>
      <c r="Z55" s="303"/>
      <c r="AA55" s="303"/>
    </row>
    <row r="56" spans="1:27">
      <c r="A56" s="303"/>
      <c r="B56" s="361" t="s">
        <v>159</v>
      </c>
      <c r="C56" s="362"/>
      <c r="D56" s="362"/>
      <c r="E56" s="362"/>
      <c r="F56" s="362"/>
      <c r="G56" s="362"/>
      <c r="H56" s="362"/>
      <c r="I56" s="362"/>
      <c r="J56" s="363"/>
      <c r="K56" s="353"/>
      <c r="L56" s="353"/>
      <c r="M56" s="353"/>
      <c r="N56" s="353"/>
      <c r="O56" s="353"/>
      <c r="P56" s="353"/>
      <c r="Q56" s="353"/>
      <c r="R56" s="353"/>
      <c r="S56" s="353"/>
      <c r="T56" s="353"/>
      <c r="U56" s="353"/>
      <c r="V56" s="353"/>
      <c r="W56" s="353"/>
      <c r="X56" s="353"/>
      <c r="Y56" s="354"/>
      <c r="Z56" s="303"/>
      <c r="AA56" s="303"/>
    </row>
    <row r="57" spans="1:27">
      <c r="A57" s="303"/>
      <c r="B57" s="361" t="s">
        <v>160</v>
      </c>
      <c r="C57" s="361"/>
      <c r="D57" s="362"/>
      <c r="E57" s="362"/>
      <c r="F57" s="362"/>
      <c r="G57" s="362"/>
      <c r="H57" s="362"/>
      <c r="I57" s="362"/>
      <c r="J57" s="363"/>
      <c r="K57" s="353"/>
      <c r="L57" s="353"/>
      <c r="M57" s="353"/>
      <c r="N57" s="353"/>
      <c r="O57" s="353"/>
      <c r="P57" s="353"/>
      <c r="Q57" s="353"/>
      <c r="R57" s="353"/>
      <c r="S57" s="353"/>
      <c r="T57" s="353"/>
      <c r="U57" s="353"/>
      <c r="V57" s="353"/>
      <c r="W57" s="353"/>
      <c r="X57" s="353"/>
      <c r="Y57" s="354"/>
      <c r="Z57" s="303"/>
      <c r="AA57" s="303"/>
    </row>
    <row r="58" spans="1:27">
      <c r="A58" s="364"/>
      <c r="B58" s="361" t="s">
        <v>161</v>
      </c>
      <c r="C58" s="361"/>
      <c r="D58" s="361"/>
      <c r="E58" s="361"/>
      <c r="F58" s="361"/>
      <c r="G58" s="361"/>
      <c r="H58" s="361"/>
      <c r="I58" s="361"/>
      <c r="J58" s="365"/>
      <c r="K58" s="366"/>
      <c r="L58" s="366"/>
      <c r="M58" s="366"/>
      <c r="N58" s="366"/>
      <c r="O58" s="366"/>
      <c r="P58" s="366"/>
      <c r="Q58" s="366"/>
      <c r="R58" s="353"/>
      <c r="S58" s="353"/>
      <c r="T58" s="353"/>
      <c r="U58" s="353"/>
      <c r="V58" s="353"/>
      <c r="W58" s="353"/>
      <c r="X58" s="353"/>
      <c r="Y58" s="355"/>
      <c r="Z58" s="364"/>
      <c r="AA58" s="364"/>
    </row>
    <row r="59" spans="1:27">
      <c r="A59" s="364"/>
      <c r="B59" s="367" t="s">
        <v>309</v>
      </c>
      <c r="C59" s="366"/>
      <c r="D59" s="366"/>
      <c r="E59" s="365"/>
      <c r="F59" s="365"/>
      <c r="G59" s="365"/>
      <c r="H59" s="365"/>
      <c r="I59" s="365"/>
      <c r="J59" s="365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53"/>
      <c r="Y59" s="355"/>
      <c r="Z59" s="364"/>
      <c r="AA59" s="364"/>
    </row>
    <row r="60" spans="1:27">
      <c r="A60" s="364"/>
      <c r="B60" s="366" t="s">
        <v>163</v>
      </c>
      <c r="C60" s="366"/>
      <c r="D60" s="366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8"/>
      <c r="T60" s="368"/>
      <c r="U60" s="368"/>
      <c r="V60" s="368"/>
      <c r="W60" s="368"/>
      <c r="X60" s="369"/>
      <c r="Y60" s="364"/>
      <c r="Z60" s="364"/>
      <c r="AA60" s="364"/>
    </row>
    <row r="61" spans="1:27">
      <c r="A61" s="364"/>
      <c r="B61" s="366" t="s">
        <v>164</v>
      </c>
      <c r="C61" s="366"/>
      <c r="D61" s="366"/>
      <c r="E61" s="366"/>
      <c r="F61" s="366"/>
      <c r="G61" s="366"/>
      <c r="H61" s="366"/>
      <c r="I61" s="366"/>
      <c r="J61" s="366"/>
      <c r="K61" s="366"/>
      <c r="L61" s="366"/>
      <c r="M61" s="366"/>
      <c r="N61" s="366"/>
      <c r="O61" s="366"/>
      <c r="P61" s="366"/>
      <c r="Q61" s="366"/>
      <c r="R61" s="366"/>
      <c r="S61" s="368"/>
      <c r="T61" s="368"/>
      <c r="U61" s="368"/>
      <c r="V61" s="368"/>
      <c r="W61" s="368"/>
      <c r="X61" s="369"/>
      <c r="Y61" s="364"/>
      <c r="Z61" s="364"/>
      <c r="AA61" s="364"/>
    </row>
    <row r="62" spans="1:27">
      <c r="A62" s="364"/>
      <c r="B62" s="367" t="s">
        <v>310</v>
      </c>
      <c r="C62" s="367"/>
      <c r="D62" s="367"/>
      <c r="E62" s="367"/>
      <c r="F62" s="367"/>
      <c r="G62" s="367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8"/>
      <c r="T62" s="368"/>
      <c r="U62" s="368"/>
      <c r="V62" s="368"/>
      <c r="W62" s="368"/>
      <c r="X62" s="369"/>
      <c r="Y62" s="364"/>
      <c r="Z62" s="364"/>
      <c r="AA62" s="364"/>
    </row>
    <row r="63" spans="1:27">
      <c r="A63" s="364"/>
      <c r="B63" s="367" t="s">
        <v>166</v>
      </c>
      <c r="C63" s="370"/>
      <c r="D63" s="370"/>
      <c r="E63" s="371"/>
      <c r="F63" s="366"/>
      <c r="G63" s="366"/>
      <c r="H63" s="366"/>
      <c r="I63" s="366"/>
      <c r="J63" s="366"/>
      <c r="K63" s="366"/>
      <c r="L63" s="366"/>
      <c r="M63" s="366"/>
      <c r="N63" s="366"/>
      <c r="O63" s="366"/>
      <c r="P63" s="366"/>
      <c r="Q63" s="366"/>
      <c r="R63" s="366"/>
      <c r="S63" s="368"/>
      <c r="T63" s="368"/>
      <c r="U63" s="368"/>
      <c r="V63" s="368"/>
      <c r="W63" s="368"/>
      <c r="X63" s="369"/>
      <c r="Y63" s="364"/>
      <c r="Z63" s="364"/>
      <c r="AA63" s="364"/>
    </row>
    <row r="64" spans="1:27">
      <c r="A64" s="364"/>
      <c r="B64" s="367" t="s">
        <v>167</v>
      </c>
      <c r="C64" s="370"/>
      <c r="D64" s="370"/>
      <c r="E64" s="371"/>
      <c r="F64" s="366"/>
      <c r="G64" s="366"/>
      <c r="H64" s="366"/>
      <c r="I64" s="366"/>
      <c r="J64" s="366"/>
      <c r="K64" s="366"/>
      <c r="L64" s="366"/>
      <c r="M64" s="366"/>
      <c r="N64" s="366"/>
      <c r="O64" s="366"/>
      <c r="P64" s="366"/>
      <c r="Q64" s="366"/>
      <c r="R64" s="366"/>
      <c r="S64" s="368"/>
      <c r="T64" s="368"/>
      <c r="U64" s="368"/>
      <c r="V64" s="368"/>
      <c r="W64" s="368"/>
      <c r="X64" s="369"/>
      <c r="Y64" s="364"/>
      <c r="Z64" s="364"/>
      <c r="AA64" s="364"/>
    </row>
    <row r="65" spans="1:27">
      <c r="A65" s="364"/>
      <c r="B65" s="367" t="s">
        <v>168</v>
      </c>
      <c r="C65" s="370"/>
      <c r="D65" s="370"/>
      <c r="E65" s="371"/>
      <c r="F65" s="366"/>
      <c r="G65" s="366"/>
      <c r="H65" s="366"/>
      <c r="I65" s="366"/>
      <c r="J65" s="366"/>
      <c r="K65" s="366"/>
      <c r="L65" s="366"/>
      <c r="M65" s="366"/>
      <c r="N65" s="366"/>
      <c r="O65" s="366"/>
      <c r="P65" s="366"/>
      <c r="Q65" s="366"/>
      <c r="R65" s="366"/>
      <c r="S65" s="368"/>
      <c r="T65" s="368"/>
      <c r="U65" s="368"/>
      <c r="V65" s="368"/>
      <c r="W65" s="368"/>
      <c r="X65" s="369"/>
      <c r="Y65" s="364"/>
      <c r="Z65" s="364"/>
      <c r="AA65" s="364"/>
    </row>
    <row r="66" spans="1:27">
      <c r="A66" s="372" t="s">
        <v>169</v>
      </c>
      <c r="B66" s="373"/>
      <c r="C66" s="366"/>
      <c r="D66" s="366"/>
      <c r="E66" s="366"/>
      <c r="F66" s="366"/>
      <c r="G66" s="374"/>
      <c r="H66" s="374"/>
      <c r="I66" s="374"/>
      <c r="J66" s="374"/>
      <c r="K66" s="374"/>
      <c r="L66" s="374"/>
      <c r="M66" s="374"/>
      <c r="N66" s="374"/>
      <c r="O66" s="374"/>
      <c r="P66" s="374"/>
      <c r="Q66" s="374"/>
      <c r="R66" s="374"/>
      <c r="S66" s="374"/>
      <c r="T66" s="374"/>
      <c r="U66" s="374"/>
      <c r="V66" s="374"/>
      <c r="W66" s="374"/>
      <c r="X66" s="374"/>
      <c r="Y66" s="374"/>
      <c r="Z66" s="374"/>
      <c r="AA66" s="374"/>
    </row>
    <row r="67" spans="1:27">
      <c r="A67" s="306"/>
      <c r="B67" s="373"/>
      <c r="C67" s="366"/>
      <c r="D67" s="366"/>
      <c r="E67" s="366"/>
      <c r="F67" s="366"/>
      <c r="G67" s="306"/>
      <c r="H67" s="306"/>
      <c r="I67" s="306"/>
      <c r="J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  <c r="AA67" s="306"/>
    </row>
    <row r="68" spans="1:27">
      <c r="B68" s="375" t="s">
        <v>170</v>
      </c>
      <c r="C68" s="376" t="s">
        <v>171</v>
      </c>
      <c r="D68" s="376" t="s">
        <v>172</v>
      </c>
      <c r="E68" s="376" t="s">
        <v>53</v>
      </c>
      <c r="F68" s="376" t="s">
        <v>7</v>
      </c>
      <c r="G68" s="376" t="s">
        <v>173</v>
      </c>
      <c r="H68" s="376" t="s">
        <v>174</v>
      </c>
      <c r="I68" s="377" t="s">
        <v>175</v>
      </c>
      <c r="J68" s="375" t="s">
        <v>176</v>
      </c>
      <c r="K68" s="378" t="s">
        <v>177</v>
      </c>
      <c r="L68" s="379"/>
      <c r="M68" s="379"/>
      <c r="N68" s="379"/>
      <c r="O68" s="379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  <c r="AA68" s="306"/>
    </row>
    <row r="69" spans="1:27">
      <c r="B69" s="376"/>
      <c r="C69" s="376">
        <v>1</v>
      </c>
      <c r="D69" s="376" t="s">
        <v>178</v>
      </c>
      <c r="E69" s="376">
        <v>0.25</v>
      </c>
      <c r="F69" s="376">
        <f>Q17</f>
        <v>0.4</v>
      </c>
      <c r="G69" s="380">
        <v>0.25</v>
      </c>
      <c r="H69" s="376">
        <v>0</v>
      </c>
      <c r="I69" s="377">
        <v>0</v>
      </c>
      <c r="J69" s="376">
        <f>SUM(C69:H69)</f>
        <v>1.9</v>
      </c>
      <c r="K69" s="378">
        <v>0</v>
      </c>
      <c r="L69" s="379"/>
      <c r="M69" s="379"/>
      <c r="N69" s="379"/>
      <c r="O69" s="379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306"/>
    </row>
    <row r="70" spans="1:27">
      <c r="A70" s="306"/>
      <c r="B70" s="306"/>
      <c r="C70" s="306"/>
      <c r="D70" s="306"/>
      <c r="F70" s="306"/>
      <c r="G70" s="306"/>
      <c r="H70" s="306"/>
      <c r="I70" s="306"/>
      <c r="J70" s="306"/>
      <c r="K70" s="306"/>
      <c r="L70" s="306"/>
      <c r="M70" s="306"/>
      <c r="N70" s="306"/>
      <c r="O70" s="306"/>
      <c r="P70" s="306"/>
      <c r="R70" s="306"/>
      <c r="S70" s="306"/>
      <c r="T70" s="306"/>
      <c r="U70" s="306"/>
      <c r="V70" s="306"/>
      <c r="W70" s="306"/>
      <c r="X70" s="306"/>
      <c r="Y70" s="306"/>
      <c r="Z70" s="306"/>
      <c r="AA70" s="306"/>
    </row>
    <row r="72" spans="1:27" ht="72">
      <c r="A72" s="381" t="s">
        <v>179</v>
      </c>
      <c r="B72" s="382" t="s">
        <v>180</v>
      </c>
      <c r="C72" s="382">
        <v>0</v>
      </c>
      <c r="D72" s="382">
        <v>0</v>
      </c>
    </row>
    <row r="73" spans="1:27">
      <c r="A73" s="382"/>
      <c r="B73" s="382" t="s">
        <v>181</v>
      </c>
      <c r="C73" s="382">
        <f>IF(OR(E1="Wednesday",E1="Friday"),0.75,0.5)</f>
        <v>0.75</v>
      </c>
      <c r="D73" s="382">
        <f>IF(OR(E1="Monday",E1="Friday"),0.25,0.5)</f>
        <v>0.5</v>
      </c>
    </row>
    <row r="74" spans="1:27">
      <c r="A74" s="382"/>
      <c r="B74" s="382" t="s">
        <v>182</v>
      </c>
      <c r="C74" s="382">
        <f>0.25</f>
        <v>0.25</v>
      </c>
      <c r="D74" s="382"/>
      <c r="K74" s="306"/>
      <c r="L74" s="306"/>
      <c r="M74" s="306"/>
      <c r="N74" s="306"/>
      <c r="O74" s="306"/>
    </row>
    <row r="77" spans="1:27">
      <c r="A77" s="383"/>
    </row>
    <row r="81" spans="1:3">
      <c r="A81" s="8" t="s">
        <v>183</v>
      </c>
    </row>
    <row r="82" spans="1:3">
      <c r="A82" s="8" t="s">
        <v>184</v>
      </c>
      <c r="B82" s="8" t="s">
        <v>185</v>
      </c>
    </row>
    <row r="83" spans="1:3">
      <c r="B83" s="8" t="s">
        <v>186</v>
      </c>
    </row>
    <row r="85" spans="1:3">
      <c r="B85" s="8" t="s">
        <v>187</v>
      </c>
    </row>
    <row r="89" spans="1:3">
      <c r="C89" s="384"/>
    </row>
    <row r="98" spans="16:20">
      <c r="P98" s="385"/>
      <c r="Q98" s="385"/>
      <c r="R98" s="385"/>
      <c r="S98" s="385"/>
      <c r="T98" s="385"/>
    </row>
    <row r="99" spans="16:20">
      <c r="P99" s="386"/>
      <c r="Q99" s="386"/>
      <c r="R99" s="386"/>
      <c r="S99" s="386"/>
      <c r="T99" s="386"/>
    </row>
    <row r="100" spans="16:20">
      <c r="P100" s="386"/>
      <c r="Q100" s="386"/>
      <c r="R100" s="386"/>
      <c r="S100" s="386"/>
      <c r="T100" s="386"/>
    </row>
    <row r="101" spans="16:20" ht="36" thickBot="1">
      <c r="P101" s="387"/>
      <c r="Q101" s="387"/>
      <c r="R101" s="387"/>
      <c r="S101" s="388"/>
      <c r="T101" s="389"/>
    </row>
  </sheetData>
  <mergeCells count="6">
    <mergeCell ref="V40:Y41"/>
    <mergeCell ref="R3:U3"/>
    <mergeCell ref="R17:U18"/>
    <mergeCell ref="R19:U19"/>
    <mergeCell ref="S21:U21"/>
    <mergeCell ref="R22:U2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8 Aug </vt:lpstr>
      <vt:lpstr>12 Aug  (2)</vt:lpstr>
      <vt:lpstr>25 Aug</vt:lpstr>
      <vt:lpstr> 27 Aug</vt:lpstr>
      <vt:lpstr> 27 Aug (2)</vt:lpstr>
      <vt:lpstr>7 Aug  (2)</vt:lpstr>
      <vt:lpstr>5 Aug  (4)</vt:lpstr>
      <vt:lpstr>5 Aug  (2)</vt:lpstr>
      <vt:lpstr>5 Aug  (3)</vt:lpstr>
      <vt:lpstr>1 Dec</vt:lpstr>
      <vt:lpstr>2 Dec</vt:lpstr>
      <vt:lpstr>3 Dec</vt:lpstr>
      <vt:lpstr>4 Dec</vt:lpstr>
      <vt:lpstr>5 Dec</vt:lpstr>
      <vt:lpstr>8 Dec</vt:lpstr>
      <vt:lpstr>9 Dec</vt:lpstr>
      <vt:lpstr>10 Dec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CHAN, TMH RPT(PHYSIO)</dc:creator>
  <cp:keywords/>
  <dc:description/>
  <cp:lastModifiedBy>Alvin Wong</cp:lastModifiedBy>
  <cp:revision/>
  <dcterms:created xsi:type="dcterms:W3CDTF">2025-07-29T06:29:20Z</dcterms:created>
  <dcterms:modified xsi:type="dcterms:W3CDTF">2026-01-11T11:32:35Z</dcterms:modified>
  <cp:category/>
  <cp:contentStatus/>
</cp:coreProperties>
</file>