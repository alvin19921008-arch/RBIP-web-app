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alvin/Desktop/"/>
    </mc:Choice>
  </mc:AlternateContent>
  <xr:revisionPtr revIDLastSave="0" documentId="8_{4272317F-056C-7048-8CB6-17F669986ADC}" xr6:coauthVersionLast="47" xr6:coauthVersionMax="47" xr10:uidLastSave="{00000000-0000-0000-0000-000000000000}"/>
  <bookViews>
    <workbookView xWindow="0" yWindow="620" windowWidth="40960" windowHeight="20840" activeTab="11" xr2:uid="{00000000-000D-0000-FFFF-FFFF00000000}"/>
  </bookViews>
  <sheets>
    <sheet name="8 Aug " sheetId="13" state="hidden" r:id="rId1"/>
    <sheet name="12 Aug  (2)" sheetId="18" state="hidden" r:id="rId2"/>
    <sheet name="25 Aug" sheetId="26" state="hidden" r:id="rId3"/>
    <sheet name=" 27 Aug" sheetId="29" state="hidden" r:id="rId4"/>
    <sheet name=" 27 Aug (2)" sheetId="30" state="hidden" r:id="rId5"/>
    <sheet name="7 Aug  (2)" sheetId="12" state="hidden" r:id="rId6"/>
    <sheet name="5 Aug  (4)" sheetId="8" state="hidden" r:id="rId7"/>
    <sheet name="5 Aug  (2)" sheetId="6" state="hidden" r:id="rId8"/>
    <sheet name="5 Aug  (3)" sheetId="7" state="hidden" r:id="rId9"/>
    <sheet name="3 Nov" sheetId="52" r:id="rId10"/>
    <sheet name="4 Nov " sheetId="53" r:id="rId11"/>
    <sheet name="5 Nov  " sheetId="54" r:id="rId12"/>
    <sheet name="6 Nov  " sheetId="55" r:id="rId13"/>
    <sheet name="7 Nov " sheetId="58" r:id="rId14"/>
    <sheet name="10 Nov " sheetId="57" r:id="rId15"/>
    <sheet name="11 Nov " sheetId="59" r:id="rId16"/>
    <sheet name="12 Nov" sheetId="60" r:id="rId17"/>
    <sheet name="13 Nov" sheetId="61" r:id="rId18"/>
    <sheet name="14 Nov " sheetId="62" r:id="rId19"/>
    <sheet name="17 Nov  " sheetId="64" r:id="rId20"/>
    <sheet name="18 Nov " sheetId="65" r:id="rId21"/>
    <sheet name="19 Nov " sheetId="68" r:id="rId22"/>
    <sheet name="20 Nov)" sheetId="71" r:id="rId23"/>
    <sheet name="21 Nov " sheetId="72" r:id="rId24"/>
    <sheet name="24 Nov " sheetId="74" r:id="rId25"/>
    <sheet name="25 Nov " sheetId="75" r:id="rId26"/>
    <sheet name="26 Nov  " sheetId="76" r:id="rId27"/>
    <sheet name="27  Nov " sheetId="77" r:id="rId28"/>
    <sheet name="28 Nov" sheetId="78" r:id="rId2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4" l="1"/>
  <c r="B45" i="54"/>
  <c r="C74" i="78"/>
  <c r="F69" i="78"/>
  <c r="J69" i="78" s="1"/>
  <c r="B48" i="78" s="1"/>
  <c r="J43" i="78"/>
  <c r="F43" i="78"/>
  <c r="D43" i="78"/>
  <c r="B43" i="78"/>
  <c r="B40" i="78"/>
  <c r="Q9" i="78"/>
  <c r="P43" i="78" s="1"/>
  <c r="O9" i="78"/>
  <c r="N43" i="78" s="1"/>
  <c r="M9" i="78"/>
  <c r="L43" i="78" s="1"/>
  <c r="I9" i="78"/>
  <c r="H43" i="78" s="1"/>
  <c r="E1" i="78"/>
  <c r="D73" i="78" s="1"/>
  <c r="B49" i="78" l="1"/>
  <c r="B41" i="78"/>
  <c r="L44" i="78" s="1"/>
  <c r="L30" i="78" s="1"/>
  <c r="C73" i="78"/>
  <c r="C74" i="77"/>
  <c r="F69" i="77"/>
  <c r="J69" i="77" s="1"/>
  <c r="B48" i="77" s="1"/>
  <c r="J43" i="77"/>
  <c r="F43" i="77"/>
  <c r="D43" i="77"/>
  <c r="B43" i="77"/>
  <c r="B40" i="77"/>
  <c r="Q9" i="77"/>
  <c r="P43" i="77" s="1"/>
  <c r="O9" i="77"/>
  <c r="N43" i="77" s="1"/>
  <c r="M9" i="77"/>
  <c r="L43" i="77" s="1"/>
  <c r="I9" i="77"/>
  <c r="H43" i="77" s="1"/>
  <c r="E1" i="77"/>
  <c r="D73" i="77" s="1"/>
  <c r="C74" i="76"/>
  <c r="F69" i="76"/>
  <c r="J69" i="76" s="1"/>
  <c r="B48" i="76" s="1"/>
  <c r="J43" i="76"/>
  <c r="F43" i="76"/>
  <c r="D43" i="76"/>
  <c r="B43" i="76"/>
  <c r="B40" i="76"/>
  <c r="Q9" i="76"/>
  <c r="P43" i="76" s="1"/>
  <c r="O9" i="76"/>
  <c r="N43" i="76" s="1"/>
  <c r="M9" i="76"/>
  <c r="L43" i="76" s="1"/>
  <c r="I9" i="76"/>
  <c r="H43" i="76" s="1"/>
  <c r="E1" i="76"/>
  <c r="D73" i="76" s="1"/>
  <c r="C74" i="75"/>
  <c r="F69" i="75"/>
  <c r="J69" i="75" s="1"/>
  <c r="B48" i="75" s="1"/>
  <c r="J43" i="75"/>
  <c r="F43" i="75"/>
  <c r="D43" i="75"/>
  <c r="B43" i="75"/>
  <c r="B40" i="75"/>
  <c r="Q9" i="75"/>
  <c r="P43" i="75" s="1"/>
  <c r="O9" i="75"/>
  <c r="N43" i="75" s="1"/>
  <c r="M9" i="75"/>
  <c r="L43" i="75" s="1"/>
  <c r="I9" i="75"/>
  <c r="H43" i="75" s="1"/>
  <c r="E1" i="75"/>
  <c r="D73" i="75" s="1"/>
  <c r="C74" i="74"/>
  <c r="F69" i="74"/>
  <c r="J69" i="74" s="1"/>
  <c r="B48" i="74" s="1"/>
  <c r="J43" i="74"/>
  <c r="F43" i="74"/>
  <c r="D43" i="74"/>
  <c r="B43" i="74"/>
  <c r="B40" i="74"/>
  <c r="Q9" i="74"/>
  <c r="P43" i="74" s="1"/>
  <c r="O9" i="74"/>
  <c r="N43" i="74" s="1"/>
  <c r="M9" i="74"/>
  <c r="L43" i="74" s="1"/>
  <c r="I9" i="74"/>
  <c r="H43" i="74" s="1"/>
  <c r="E1" i="74"/>
  <c r="D73" i="74" s="1"/>
  <c r="F69" i="72"/>
  <c r="D44" i="78" l="1"/>
  <c r="D30" i="78" s="1"/>
  <c r="N44" i="78"/>
  <c r="N30" i="78" s="1"/>
  <c r="F44" i="78"/>
  <c r="F30" i="78" s="1"/>
  <c r="J44" i="78"/>
  <c r="J30" i="78" s="1"/>
  <c r="B44" i="78"/>
  <c r="B30" i="78" s="1"/>
  <c r="P44" i="78"/>
  <c r="P30" i="78" s="1"/>
  <c r="H44" i="78"/>
  <c r="H30" i="78" s="1"/>
  <c r="B42" i="78"/>
  <c r="B41" i="77"/>
  <c r="N44" i="77" s="1"/>
  <c r="N30" i="77" s="1"/>
  <c r="B42" i="77"/>
  <c r="C73" i="77"/>
  <c r="B49" i="77"/>
  <c r="B49" i="76"/>
  <c r="B41" i="76"/>
  <c r="B44" i="76" s="1"/>
  <c r="B30" i="76" s="1"/>
  <c r="C73" i="76"/>
  <c r="B41" i="75"/>
  <c r="B42" i="75" s="1"/>
  <c r="C73" i="75"/>
  <c r="B49" i="75"/>
  <c r="B41" i="74"/>
  <c r="H44" i="74" s="1"/>
  <c r="H30" i="74" s="1"/>
  <c r="C73" i="74"/>
  <c r="B49" i="74"/>
  <c r="C74" i="72"/>
  <c r="J69" i="72"/>
  <c r="B48" i="72" s="1"/>
  <c r="J43" i="72"/>
  <c r="F43" i="72"/>
  <c r="D43" i="72"/>
  <c r="B43" i="72"/>
  <c r="B40" i="72"/>
  <c r="Q9" i="72"/>
  <c r="P43" i="72" s="1"/>
  <c r="O9" i="72"/>
  <c r="N43" i="72" s="1"/>
  <c r="M9" i="72"/>
  <c r="L43" i="72" s="1"/>
  <c r="I9" i="72"/>
  <c r="H43" i="72" s="1"/>
  <c r="E1" i="72"/>
  <c r="D73" i="72" s="1"/>
  <c r="J50" i="78" l="1"/>
  <c r="J51" i="78" s="1"/>
  <c r="J18" i="78" s="1"/>
  <c r="B50" i="78"/>
  <c r="B51" i="78" s="1"/>
  <c r="B18" i="78" s="1"/>
  <c r="P50" i="78"/>
  <c r="P51" i="78" s="1"/>
  <c r="P18" i="78" s="1"/>
  <c r="Q18" i="78" s="1"/>
  <c r="H50" i="78"/>
  <c r="H51" i="78" s="1"/>
  <c r="H18" i="78" s="1"/>
  <c r="N50" i="78"/>
  <c r="N51" i="78" s="1"/>
  <c r="N18" i="78" s="1"/>
  <c r="F50" i="78"/>
  <c r="F51" i="78" s="1"/>
  <c r="F18" i="78" s="1"/>
  <c r="L50" i="78"/>
  <c r="L51" i="78" s="1"/>
  <c r="L18" i="78" s="1"/>
  <c r="D50" i="78"/>
  <c r="D51" i="78" s="1"/>
  <c r="D18" i="78" s="1"/>
  <c r="L44" i="77"/>
  <c r="L30" i="77" s="1"/>
  <c r="J44" i="77"/>
  <c r="J30" i="77" s="1"/>
  <c r="B44" i="77"/>
  <c r="B30" i="77" s="1"/>
  <c r="D44" i="77"/>
  <c r="D30" i="77" s="1"/>
  <c r="P44" i="77"/>
  <c r="P30" i="77" s="1"/>
  <c r="F44" i="77"/>
  <c r="F30" i="77" s="1"/>
  <c r="H44" i="77"/>
  <c r="H30" i="77" s="1"/>
  <c r="J50" i="77"/>
  <c r="J51" i="77" s="1"/>
  <c r="J18" i="77" s="1"/>
  <c r="B50" i="77"/>
  <c r="B51" i="77" s="1"/>
  <c r="B18" i="77" s="1"/>
  <c r="P50" i="77"/>
  <c r="P51" i="77" s="1"/>
  <c r="P18" i="77" s="1"/>
  <c r="Q18" i="77" s="1"/>
  <c r="H50" i="77"/>
  <c r="H51" i="77" s="1"/>
  <c r="H18" i="77" s="1"/>
  <c r="N50" i="77"/>
  <c r="N51" i="77" s="1"/>
  <c r="N18" i="77" s="1"/>
  <c r="F50" i="77"/>
  <c r="F51" i="77" s="1"/>
  <c r="F18" i="77" s="1"/>
  <c r="L50" i="77"/>
  <c r="L51" i="77" s="1"/>
  <c r="L18" i="77" s="1"/>
  <c r="D50" i="77"/>
  <c r="D51" i="77" s="1"/>
  <c r="D18" i="77" s="1"/>
  <c r="F44" i="75"/>
  <c r="F30" i="75" s="1"/>
  <c r="D44" i="76"/>
  <c r="D30" i="76" s="1"/>
  <c r="J44" i="76"/>
  <c r="J30" i="76" s="1"/>
  <c r="L44" i="76"/>
  <c r="L30" i="76" s="1"/>
  <c r="P44" i="76"/>
  <c r="P30" i="76" s="1"/>
  <c r="H44" i="76"/>
  <c r="H30" i="76" s="1"/>
  <c r="B42" i="76"/>
  <c r="N44" i="76"/>
  <c r="N30" i="76" s="1"/>
  <c r="F44" i="76"/>
  <c r="F30" i="76" s="1"/>
  <c r="J44" i="75"/>
  <c r="J30" i="75" s="1"/>
  <c r="B44" i="75"/>
  <c r="B30" i="75" s="1"/>
  <c r="L44" i="75"/>
  <c r="L30" i="75" s="1"/>
  <c r="H44" i="75"/>
  <c r="H30" i="75" s="1"/>
  <c r="N44" i="75"/>
  <c r="N30" i="75" s="1"/>
  <c r="D44" i="75"/>
  <c r="D30" i="75" s="1"/>
  <c r="P44" i="75"/>
  <c r="P30" i="75" s="1"/>
  <c r="J50" i="75"/>
  <c r="J51" i="75" s="1"/>
  <c r="J18" i="75" s="1"/>
  <c r="B50" i="75"/>
  <c r="B51" i="75" s="1"/>
  <c r="B18" i="75" s="1"/>
  <c r="P50" i="75"/>
  <c r="P51" i="75" s="1"/>
  <c r="P18" i="75" s="1"/>
  <c r="Q18" i="75" s="1"/>
  <c r="H50" i="75"/>
  <c r="H51" i="75" s="1"/>
  <c r="H18" i="75" s="1"/>
  <c r="N50" i="75"/>
  <c r="N51" i="75" s="1"/>
  <c r="N18" i="75" s="1"/>
  <c r="F50" i="75"/>
  <c r="F51" i="75" s="1"/>
  <c r="F18" i="75" s="1"/>
  <c r="L50" i="75"/>
  <c r="L51" i="75" s="1"/>
  <c r="L18" i="75" s="1"/>
  <c r="D50" i="75"/>
  <c r="D51" i="75" s="1"/>
  <c r="D18" i="75" s="1"/>
  <c r="J44" i="74"/>
  <c r="J30" i="74" s="1"/>
  <c r="B42" i="74"/>
  <c r="J50" i="74" s="1"/>
  <c r="J51" i="74" s="1"/>
  <c r="J18" i="74" s="1"/>
  <c r="L44" i="74"/>
  <c r="L30" i="74" s="1"/>
  <c r="B44" i="74"/>
  <c r="B30" i="74" s="1"/>
  <c r="N44" i="74"/>
  <c r="N30" i="74" s="1"/>
  <c r="D44" i="74"/>
  <c r="D30" i="74" s="1"/>
  <c r="P44" i="74"/>
  <c r="P30" i="74" s="1"/>
  <c r="F44" i="74"/>
  <c r="F30" i="74" s="1"/>
  <c r="D50" i="74"/>
  <c r="D51" i="74" s="1"/>
  <c r="D18" i="74" s="1"/>
  <c r="B41" i="72"/>
  <c r="J44" i="72" s="1"/>
  <c r="J30" i="72" s="1"/>
  <c r="C73" i="72"/>
  <c r="B49" i="72"/>
  <c r="I9" i="71"/>
  <c r="H43" i="71" s="1"/>
  <c r="C74" i="71"/>
  <c r="F69" i="71"/>
  <c r="J69" i="71" s="1"/>
  <c r="B48" i="71" s="1"/>
  <c r="J43" i="71"/>
  <c r="F43" i="71"/>
  <c r="D43" i="71"/>
  <c r="B43" i="71"/>
  <c r="B40" i="71"/>
  <c r="Q9" i="71"/>
  <c r="P43" i="71" s="1"/>
  <c r="O9" i="71"/>
  <c r="N43" i="71" s="1"/>
  <c r="M9" i="71"/>
  <c r="L43" i="71" s="1"/>
  <c r="E1" i="71"/>
  <c r="D73" i="71" s="1"/>
  <c r="H50" i="74" l="1"/>
  <c r="H51" i="74" s="1"/>
  <c r="H18" i="74" s="1"/>
  <c r="P50" i="76"/>
  <c r="P51" i="76" s="1"/>
  <c r="P18" i="76" s="1"/>
  <c r="Q18" i="76" s="1"/>
  <c r="H50" i="76"/>
  <c r="H51" i="76" s="1"/>
  <c r="H18" i="76" s="1"/>
  <c r="L50" i="76"/>
  <c r="L51" i="76" s="1"/>
  <c r="L18" i="76" s="1"/>
  <c r="D50" i="76"/>
  <c r="D51" i="76" s="1"/>
  <c r="D18" i="76" s="1"/>
  <c r="N50" i="76"/>
  <c r="N51" i="76" s="1"/>
  <c r="N18" i="76" s="1"/>
  <c r="F50" i="76"/>
  <c r="F51" i="76" s="1"/>
  <c r="F18" i="76" s="1"/>
  <c r="J50" i="76"/>
  <c r="J51" i="76" s="1"/>
  <c r="J18" i="76" s="1"/>
  <c r="B50" i="76"/>
  <c r="B51" i="76" s="1"/>
  <c r="B18" i="76" s="1"/>
  <c r="P50" i="74"/>
  <c r="P51" i="74" s="1"/>
  <c r="P18" i="74" s="1"/>
  <c r="Q18" i="74" s="1"/>
  <c r="F50" i="74"/>
  <c r="F51" i="74" s="1"/>
  <c r="F18" i="74" s="1"/>
  <c r="B49" i="71"/>
  <c r="L50" i="74"/>
  <c r="L51" i="74" s="1"/>
  <c r="L18" i="74" s="1"/>
  <c r="B50" i="74"/>
  <c r="B51" i="74" s="1"/>
  <c r="B18" i="74" s="1"/>
  <c r="N50" i="74"/>
  <c r="N51" i="74" s="1"/>
  <c r="N18" i="74" s="1"/>
  <c r="L44" i="72"/>
  <c r="L30" i="72" s="1"/>
  <c r="D44" i="72"/>
  <c r="D30" i="72" s="1"/>
  <c r="B44" i="72"/>
  <c r="B30" i="72" s="1"/>
  <c r="P44" i="72"/>
  <c r="P30" i="72" s="1"/>
  <c r="B42" i="72"/>
  <c r="H44" i="72"/>
  <c r="H30" i="72" s="1"/>
  <c r="F44" i="72"/>
  <c r="F30" i="72" s="1"/>
  <c r="N44" i="72"/>
  <c r="N30" i="72" s="1"/>
  <c r="B41" i="71"/>
  <c r="B42" i="71" s="1"/>
  <c r="C73" i="71"/>
  <c r="C74" i="68"/>
  <c r="F69" i="68"/>
  <c r="J69" i="68" s="1"/>
  <c r="B48" i="68" s="1"/>
  <c r="J43" i="68"/>
  <c r="H43" i="68"/>
  <c r="F43" i="68"/>
  <c r="D43" i="68"/>
  <c r="B43" i="68"/>
  <c r="B40" i="68"/>
  <c r="Q9" i="68"/>
  <c r="P43" i="68" s="1"/>
  <c r="O9" i="68"/>
  <c r="N43" i="68" s="1"/>
  <c r="M9" i="68"/>
  <c r="L43" i="68" s="1"/>
  <c r="E1" i="68"/>
  <c r="D73" i="68" s="1"/>
  <c r="J50" i="72" l="1"/>
  <c r="J51" i="72" s="1"/>
  <c r="J18" i="72" s="1"/>
  <c r="B50" i="72"/>
  <c r="B51" i="72" s="1"/>
  <c r="B18" i="72" s="1"/>
  <c r="P50" i="72"/>
  <c r="P51" i="72" s="1"/>
  <c r="H50" i="72"/>
  <c r="H51" i="72" s="1"/>
  <c r="H18" i="72" s="1"/>
  <c r="D50" i="72"/>
  <c r="D51" i="72" s="1"/>
  <c r="D18" i="72" s="1"/>
  <c r="N50" i="72"/>
  <c r="N51" i="72" s="1"/>
  <c r="N18" i="72" s="1"/>
  <c r="F50" i="72"/>
  <c r="F51" i="72" s="1"/>
  <c r="F18" i="72" s="1"/>
  <c r="L50" i="72"/>
  <c r="L51" i="72" s="1"/>
  <c r="L18" i="72" s="1"/>
  <c r="P50" i="71"/>
  <c r="P51" i="71" s="1"/>
  <c r="P18" i="71" s="1"/>
  <c r="Q18" i="71" s="1"/>
  <c r="H50" i="71"/>
  <c r="H51" i="71" s="1"/>
  <c r="H18" i="71" s="1"/>
  <c r="N50" i="71"/>
  <c r="N51" i="71" s="1"/>
  <c r="N18" i="71" s="1"/>
  <c r="F50" i="71"/>
  <c r="F51" i="71" s="1"/>
  <c r="F18" i="71" s="1"/>
  <c r="B50" i="71"/>
  <c r="B51" i="71" s="1"/>
  <c r="B18" i="71" s="1"/>
  <c r="L50" i="71"/>
  <c r="L51" i="71" s="1"/>
  <c r="L18" i="71" s="1"/>
  <c r="D50" i="71"/>
  <c r="D51" i="71" s="1"/>
  <c r="D18" i="71" s="1"/>
  <c r="J50" i="71"/>
  <c r="J51" i="71" s="1"/>
  <c r="J18" i="71" s="1"/>
  <c r="P44" i="71"/>
  <c r="P30" i="71" s="1"/>
  <c r="L44" i="71"/>
  <c r="L30" i="71" s="1"/>
  <c r="H44" i="71"/>
  <c r="H30" i="71" s="1"/>
  <c r="D44" i="71"/>
  <c r="D30" i="71" s="1"/>
  <c r="J44" i="71"/>
  <c r="J30" i="71" s="1"/>
  <c r="B44" i="71"/>
  <c r="B30" i="71" s="1"/>
  <c r="F44" i="71"/>
  <c r="F30" i="71" s="1"/>
  <c r="N44" i="71"/>
  <c r="N30" i="71" s="1"/>
  <c r="B49" i="68"/>
  <c r="B41" i="68"/>
  <c r="D44" i="68" s="1"/>
  <c r="D30" i="68" s="1"/>
  <c r="C73" i="68"/>
  <c r="C74" i="65"/>
  <c r="F69" i="65"/>
  <c r="J69" i="65" s="1"/>
  <c r="B48" i="65" s="1"/>
  <c r="J43" i="65"/>
  <c r="F43" i="65"/>
  <c r="D43" i="65"/>
  <c r="B43" i="65"/>
  <c r="B40" i="65"/>
  <c r="Q9" i="65"/>
  <c r="P43" i="65" s="1"/>
  <c r="O9" i="65"/>
  <c r="N43" i="65" s="1"/>
  <c r="M9" i="65"/>
  <c r="L43" i="65" s="1"/>
  <c r="H43" i="65"/>
  <c r="E1" i="65"/>
  <c r="D73" i="65" s="1"/>
  <c r="C74" i="64"/>
  <c r="F69" i="64"/>
  <c r="J69" i="64" s="1"/>
  <c r="B48" i="64" s="1"/>
  <c r="J43" i="64"/>
  <c r="F43" i="64"/>
  <c r="D43" i="64"/>
  <c r="B43" i="64"/>
  <c r="B40" i="64"/>
  <c r="Q9" i="64"/>
  <c r="P43" i="64" s="1"/>
  <c r="O9" i="64"/>
  <c r="N43" i="64" s="1"/>
  <c r="M9" i="64"/>
  <c r="L43" i="64" s="1"/>
  <c r="I9" i="64"/>
  <c r="H43" i="64" s="1"/>
  <c r="E1" i="64"/>
  <c r="D73" i="64" s="1"/>
  <c r="P18" i="72" l="1"/>
  <c r="Q18" i="72" s="1"/>
  <c r="J44" i="68"/>
  <c r="J30" i="68" s="1"/>
  <c r="L44" i="68"/>
  <c r="L30" i="68" s="1"/>
  <c r="B44" i="68"/>
  <c r="B30" i="68" s="1"/>
  <c r="P44" i="68"/>
  <c r="P30" i="68" s="1"/>
  <c r="H44" i="68"/>
  <c r="H30" i="68" s="1"/>
  <c r="B42" i="68"/>
  <c r="N44" i="68"/>
  <c r="N30" i="68" s="1"/>
  <c r="F44" i="68"/>
  <c r="F30" i="68" s="1"/>
  <c r="B41" i="65"/>
  <c r="N44" i="65" s="1"/>
  <c r="N30" i="65" s="1"/>
  <c r="C73" i="65"/>
  <c r="B49" i="65"/>
  <c r="B41" i="64"/>
  <c r="N44" i="64" s="1"/>
  <c r="N30" i="64" s="1"/>
  <c r="C73" i="64"/>
  <c r="B49" i="64"/>
  <c r="C74" i="62"/>
  <c r="F69" i="62"/>
  <c r="J69" i="62" s="1"/>
  <c r="B48" i="62" s="1"/>
  <c r="J43" i="62"/>
  <c r="F43" i="62"/>
  <c r="D43" i="62"/>
  <c r="B43" i="62"/>
  <c r="B40" i="62"/>
  <c r="Q9" i="62"/>
  <c r="P43" i="62" s="1"/>
  <c r="O9" i="62"/>
  <c r="N43" i="62" s="1"/>
  <c r="M9" i="62"/>
  <c r="L43" i="62" s="1"/>
  <c r="I9" i="62"/>
  <c r="H43" i="62" s="1"/>
  <c r="E1" i="62"/>
  <c r="D73" i="62" s="1"/>
  <c r="P50" i="68" l="1"/>
  <c r="P51" i="68" s="1"/>
  <c r="P18" i="68" s="1"/>
  <c r="Q18" i="68" s="1"/>
  <c r="H50" i="68"/>
  <c r="H51" i="68" s="1"/>
  <c r="H18" i="68" s="1"/>
  <c r="L50" i="68"/>
  <c r="L51" i="68" s="1"/>
  <c r="L18" i="68" s="1"/>
  <c r="D50" i="68"/>
  <c r="D51" i="68" s="1"/>
  <c r="D18" i="68" s="1"/>
  <c r="J50" i="68"/>
  <c r="J51" i="68" s="1"/>
  <c r="J18" i="68" s="1"/>
  <c r="B50" i="68"/>
  <c r="B51" i="68" s="1"/>
  <c r="B18" i="68" s="1"/>
  <c r="N50" i="68"/>
  <c r="N51" i="68" s="1"/>
  <c r="N18" i="68" s="1"/>
  <c r="F50" i="68"/>
  <c r="F51" i="68" s="1"/>
  <c r="F18" i="68" s="1"/>
  <c r="L44" i="65"/>
  <c r="L30" i="65" s="1"/>
  <c r="D44" i="65"/>
  <c r="D30" i="65" s="1"/>
  <c r="F44" i="65"/>
  <c r="F30" i="65" s="1"/>
  <c r="L44" i="64"/>
  <c r="L30" i="64" s="1"/>
  <c r="D44" i="64"/>
  <c r="D30" i="64" s="1"/>
  <c r="F44" i="64"/>
  <c r="F30" i="64" s="1"/>
  <c r="J44" i="65"/>
  <c r="J30" i="65" s="1"/>
  <c r="P44" i="65"/>
  <c r="P30" i="65" s="1"/>
  <c r="H44" i="65"/>
  <c r="H30" i="65" s="1"/>
  <c r="B42" i="65"/>
  <c r="B44" i="65"/>
  <c r="B30" i="65" s="1"/>
  <c r="J44" i="64"/>
  <c r="J30" i="64" s="1"/>
  <c r="B44" i="64"/>
  <c r="B30" i="64" s="1"/>
  <c r="P44" i="64"/>
  <c r="P30" i="64" s="1"/>
  <c r="H44" i="64"/>
  <c r="H30" i="64" s="1"/>
  <c r="B42" i="64"/>
  <c r="B41" i="62"/>
  <c r="N44" i="62" s="1"/>
  <c r="N30" i="62" s="1"/>
  <c r="C73" i="62"/>
  <c r="B49" i="62"/>
  <c r="C74" i="61"/>
  <c r="F69" i="61"/>
  <c r="J69" i="61" s="1"/>
  <c r="B48" i="61" s="1"/>
  <c r="J43" i="61"/>
  <c r="F43" i="61"/>
  <c r="D43" i="61"/>
  <c r="B43" i="61"/>
  <c r="B40" i="61"/>
  <c r="Q9" i="61"/>
  <c r="P43" i="61" s="1"/>
  <c r="O9" i="61"/>
  <c r="N43" i="61" s="1"/>
  <c r="M9" i="61"/>
  <c r="L43" i="61" s="1"/>
  <c r="I9" i="61"/>
  <c r="H43" i="61" s="1"/>
  <c r="E1" i="61"/>
  <c r="D73" i="61" s="1"/>
  <c r="C78" i="60"/>
  <c r="F73" i="60"/>
  <c r="J73" i="60" s="1"/>
  <c r="B52" i="60" s="1"/>
  <c r="J47" i="60"/>
  <c r="F47" i="60"/>
  <c r="D47" i="60"/>
  <c r="B47" i="60"/>
  <c r="B44" i="60"/>
  <c r="Q9" i="60"/>
  <c r="P47" i="60" s="1"/>
  <c r="O9" i="60"/>
  <c r="N47" i="60" s="1"/>
  <c r="M9" i="60"/>
  <c r="L47" i="60" s="1"/>
  <c r="I9" i="60"/>
  <c r="H47" i="60" s="1"/>
  <c r="E1" i="60"/>
  <c r="D77" i="60" s="1"/>
  <c r="C74" i="59"/>
  <c r="F69" i="59"/>
  <c r="J69" i="59" s="1"/>
  <c r="B48" i="59" s="1"/>
  <c r="J43" i="59"/>
  <c r="F43" i="59"/>
  <c r="D43" i="59"/>
  <c r="B43" i="59"/>
  <c r="B40" i="59"/>
  <c r="Q9" i="59"/>
  <c r="P43" i="59" s="1"/>
  <c r="O9" i="59"/>
  <c r="N43" i="59" s="1"/>
  <c r="M9" i="59"/>
  <c r="L43" i="59" s="1"/>
  <c r="I9" i="59"/>
  <c r="H43" i="59" s="1"/>
  <c r="E1" i="59"/>
  <c r="D73" i="59" s="1"/>
  <c r="E1" i="57"/>
  <c r="E1" i="54"/>
  <c r="M9" i="57"/>
  <c r="Q9" i="58"/>
  <c r="Q9" i="57"/>
  <c r="J50" i="65" l="1"/>
  <c r="J51" i="65" s="1"/>
  <c r="J18" i="65" s="1"/>
  <c r="B50" i="65"/>
  <c r="B51" i="65" s="1"/>
  <c r="B18" i="65" s="1"/>
  <c r="N50" i="65"/>
  <c r="N51" i="65" s="1"/>
  <c r="N18" i="65" s="1"/>
  <c r="L50" i="65"/>
  <c r="L51" i="65" s="1"/>
  <c r="L18" i="65" s="1"/>
  <c r="D50" i="65"/>
  <c r="D51" i="65" s="1"/>
  <c r="D18" i="65" s="1"/>
  <c r="P50" i="65"/>
  <c r="P51" i="65" s="1"/>
  <c r="P18" i="65" s="1"/>
  <c r="Q18" i="65" s="1"/>
  <c r="H50" i="65"/>
  <c r="H51" i="65" s="1"/>
  <c r="H18" i="65" s="1"/>
  <c r="F50" i="65"/>
  <c r="F51" i="65" s="1"/>
  <c r="F18" i="65" s="1"/>
  <c r="J50" i="64"/>
  <c r="J51" i="64" s="1"/>
  <c r="J18" i="64" s="1"/>
  <c r="B50" i="64"/>
  <c r="B51" i="64" s="1"/>
  <c r="B18" i="64" s="1"/>
  <c r="P50" i="64"/>
  <c r="P51" i="64" s="1"/>
  <c r="P18" i="64" s="1"/>
  <c r="Q18" i="64" s="1"/>
  <c r="H50" i="64"/>
  <c r="H51" i="64" s="1"/>
  <c r="H18" i="64" s="1"/>
  <c r="N50" i="64"/>
  <c r="N51" i="64" s="1"/>
  <c r="N18" i="64" s="1"/>
  <c r="F50" i="64"/>
  <c r="F51" i="64" s="1"/>
  <c r="F18" i="64" s="1"/>
  <c r="L50" i="64"/>
  <c r="L51" i="64" s="1"/>
  <c r="L18" i="64" s="1"/>
  <c r="D50" i="64"/>
  <c r="D51" i="64" s="1"/>
  <c r="D18" i="64" s="1"/>
  <c r="F44" i="62"/>
  <c r="F30" i="62" s="1"/>
  <c r="L44" i="62"/>
  <c r="L30" i="62" s="1"/>
  <c r="D44" i="62"/>
  <c r="D30" i="62" s="1"/>
  <c r="H44" i="62"/>
  <c r="H30" i="62" s="1"/>
  <c r="B42" i="62"/>
  <c r="J44" i="62"/>
  <c r="J30" i="62" s="1"/>
  <c r="B44" i="62"/>
  <c r="B30" i="62" s="1"/>
  <c r="P44" i="62"/>
  <c r="P30" i="62" s="1"/>
  <c r="B41" i="61"/>
  <c r="F44" i="61" s="1"/>
  <c r="F30" i="61" s="1"/>
  <c r="C73" i="61"/>
  <c r="B49" i="61"/>
  <c r="B53" i="60"/>
  <c r="B45" i="60"/>
  <c r="B48" i="60" s="1"/>
  <c r="B34" i="60" s="1"/>
  <c r="C77" i="60"/>
  <c r="B41" i="59"/>
  <c r="L44" i="59" s="1"/>
  <c r="L30" i="59" s="1"/>
  <c r="B49" i="59"/>
  <c r="C73" i="59"/>
  <c r="C74" i="58"/>
  <c r="D73" i="58"/>
  <c r="C73" i="58"/>
  <c r="F69" i="58"/>
  <c r="J69" i="58" s="1"/>
  <c r="B48" i="58" s="1"/>
  <c r="J43" i="58"/>
  <c r="F43" i="58"/>
  <c r="D43" i="58"/>
  <c r="B43" i="58"/>
  <c r="B40" i="58"/>
  <c r="P43" i="58"/>
  <c r="O9" i="58"/>
  <c r="N43" i="58" s="1"/>
  <c r="M9" i="58"/>
  <c r="L43" i="58" s="1"/>
  <c r="I9" i="58"/>
  <c r="H43" i="58" s="1"/>
  <c r="C74" i="57"/>
  <c r="D73" i="57"/>
  <c r="C73" i="57"/>
  <c r="F69" i="57"/>
  <c r="J69" i="57" s="1"/>
  <c r="B48" i="57" s="1"/>
  <c r="J43" i="57"/>
  <c r="F43" i="57"/>
  <c r="D43" i="57"/>
  <c r="B43" i="57"/>
  <c r="B40" i="57"/>
  <c r="P43" i="57"/>
  <c r="O9" i="57"/>
  <c r="N43" i="57" s="1"/>
  <c r="L43" i="57"/>
  <c r="I9" i="57"/>
  <c r="H43" i="57" s="1"/>
  <c r="D75" i="54"/>
  <c r="D78" i="55"/>
  <c r="C79" i="55"/>
  <c r="F74" i="55"/>
  <c r="J74" i="55" s="1"/>
  <c r="B53" i="55" s="1"/>
  <c r="J48" i="55"/>
  <c r="F48" i="55"/>
  <c r="D48" i="55"/>
  <c r="B48" i="55"/>
  <c r="B45" i="55"/>
  <c r="Q9" i="55"/>
  <c r="P48" i="55" s="1"/>
  <c r="O9" i="55"/>
  <c r="N48" i="55" s="1"/>
  <c r="M9" i="55"/>
  <c r="L48" i="55" s="1"/>
  <c r="I9" i="55"/>
  <c r="H48" i="55" s="1"/>
  <c r="C76" i="54"/>
  <c r="F71" i="54"/>
  <c r="J71" i="54" s="1"/>
  <c r="B50" i="54" s="1"/>
  <c r="B51" i="54" s="1"/>
  <c r="J45" i="54"/>
  <c r="F45" i="54"/>
  <c r="D45" i="54"/>
  <c r="B43" i="54" s="1"/>
  <c r="Q9" i="54"/>
  <c r="P45" i="54" s="1"/>
  <c r="O9" i="54"/>
  <c r="N45" i="54" s="1"/>
  <c r="M9" i="54"/>
  <c r="L45" i="54" s="1"/>
  <c r="I9" i="54"/>
  <c r="H45" i="54" s="1"/>
  <c r="B46" i="54" l="1"/>
  <c r="B32" i="54" s="1"/>
  <c r="B44" i="54"/>
  <c r="B52" i="54" s="1"/>
  <c r="B53" i="54" s="1"/>
  <c r="N44" i="61"/>
  <c r="N30" i="61" s="1"/>
  <c r="J50" i="62"/>
  <c r="J51" i="62" s="1"/>
  <c r="J18" i="62" s="1"/>
  <c r="B50" i="62"/>
  <c r="B51" i="62" s="1"/>
  <c r="B18" i="62" s="1"/>
  <c r="D50" i="62"/>
  <c r="D51" i="62" s="1"/>
  <c r="D18" i="62" s="1"/>
  <c r="P50" i="62"/>
  <c r="P51" i="62" s="1"/>
  <c r="P18" i="62" s="1"/>
  <c r="Q18" i="62" s="1"/>
  <c r="H50" i="62"/>
  <c r="H51" i="62" s="1"/>
  <c r="H18" i="62" s="1"/>
  <c r="N50" i="62"/>
  <c r="N51" i="62" s="1"/>
  <c r="N18" i="62" s="1"/>
  <c r="F50" i="62"/>
  <c r="F51" i="62" s="1"/>
  <c r="F18" i="62" s="1"/>
  <c r="L50" i="62"/>
  <c r="L51" i="62" s="1"/>
  <c r="L18" i="62" s="1"/>
  <c r="L44" i="61"/>
  <c r="L30" i="61" s="1"/>
  <c r="D44" i="61"/>
  <c r="D30" i="61" s="1"/>
  <c r="P44" i="61"/>
  <c r="P30" i="61" s="1"/>
  <c r="J44" i="61"/>
  <c r="J30" i="61" s="1"/>
  <c r="B44" i="61"/>
  <c r="B30" i="61" s="1"/>
  <c r="H44" i="61"/>
  <c r="H30" i="61" s="1"/>
  <c r="B42" i="61"/>
  <c r="D48" i="60"/>
  <c r="D34" i="60" s="1"/>
  <c r="J48" i="60"/>
  <c r="J34" i="60" s="1"/>
  <c r="L48" i="60"/>
  <c r="L34" i="60" s="1"/>
  <c r="P48" i="60"/>
  <c r="P34" i="60" s="1"/>
  <c r="H48" i="60"/>
  <c r="H34" i="60" s="1"/>
  <c r="B46" i="60"/>
  <c r="N48" i="60"/>
  <c r="N34" i="60" s="1"/>
  <c r="F48" i="60"/>
  <c r="F34" i="60" s="1"/>
  <c r="F44" i="59"/>
  <c r="F30" i="59" s="1"/>
  <c r="J44" i="59"/>
  <c r="J30" i="59" s="1"/>
  <c r="B44" i="59"/>
  <c r="B30" i="59" s="1"/>
  <c r="P44" i="59"/>
  <c r="P30" i="59" s="1"/>
  <c r="H44" i="59"/>
  <c r="H30" i="59" s="1"/>
  <c r="B42" i="59"/>
  <c r="N44" i="59"/>
  <c r="N30" i="59" s="1"/>
  <c r="D44" i="59"/>
  <c r="D30" i="59" s="1"/>
  <c r="B41" i="58"/>
  <c r="D44" i="58" s="1"/>
  <c r="D30" i="58" s="1"/>
  <c r="B49" i="58"/>
  <c r="B41" i="57"/>
  <c r="D44" i="57" s="1"/>
  <c r="D30" i="57" s="1"/>
  <c r="B49" i="57"/>
  <c r="B46" i="55"/>
  <c r="N49" i="55" s="1"/>
  <c r="N35" i="55" s="1"/>
  <c r="C78" i="55"/>
  <c r="B54" i="55"/>
  <c r="D46" i="54"/>
  <c r="D32" i="54" s="1"/>
  <c r="C75" i="54"/>
  <c r="E1" i="53"/>
  <c r="D73" i="53" s="1"/>
  <c r="C74" i="53"/>
  <c r="F69" i="53"/>
  <c r="J69" i="53" s="1"/>
  <c r="B48" i="53" s="1"/>
  <c r="J43" i="53"/>
  <c r="F43" i="53"/>
  <c r="D43" i="53"/>
  <c r="B43" i="53"/>
  <c r="B40" i="53"/>
  <c r="Q9" i="53"/>
  <c r="P43" i="53" s="1"/>
  <c r="O9" i="53"/>
  <c r="N43" i="53" s="1"/>
  <c r="M9" i="53"/>
  <c r="L43" i="53" s="1"/>
  <c r="I9" i="53"/>
  <c r="H43" i="53" s="1"/>
  <c r="C74" i="52"/>
  <c r="F69" i="52"/>
  <c r="J69" i="52" s="1"/>
  <c r="B48" i="52" s="1"/>
  <c r="J43" i="52"/>
  <c r="F43" i="52"/>
  <c r="D43" i="52"/>
  <c r="B43" i="52"/>
  <c r="B40" i="52"/>
  <c r="Q9" i="52"/>
  <c r="P43" i="52" s="1"/>
  <c r="O9" i="52"/>
  <c r="N43" i="52" s="1"/>
  <c r="M9" i="52"/>
  <c r="L43" i="52" s="1"/>
  <c r="I9" i="52"/>
  <c r="H43" i="52" s="1"/>
  <c r="E1" i="52"/>
  <c r="D73" i="52" s="1"/>
  <c r="J50" i="61" l="1"/>
  <c r="J51" i="61" s="1"/>
  <c r="J18" i="61" s="1"/>
  <c r="B50" i="61"/>
  <c r="B51" i="61" s="1"/>
  <c r="B18" i="61" s="1"/>
  <c r="L50" i="61"/>
  <c r="L51" i="61" s="1"/>
  <c r="L18" i="61" s="1"/>
  <c r="P50" i="61"/>
  <c r="P51" i="61" s="1"/>
  <c r="P18" i="61" s="1"/>
  <c r="Q18" i="61" s="1"/>
  <c r="H50" i="61"/>
  <c r="H51" i="61" s="1"/>
  <c r="H18" i="61" s="1"/>
  <c r="N50" i="61"/>
  <c r="N51" i="61" s="1"/>
  <c r="N18" i="61" s="1"/>
  <c r="F50" i="61"/>
  <c r="F51" i="61" s="1"/>
  <c r="F18" i="61" s="1"/>
  <c r="D50" i="61"/>
  <c r="D51" i="61" s="1"/>
  <c r="D18" i="61" s="1"/>
  <c r="P54" i="60"/>
  <c r="P55" i="60" s="1"/>
  <c r="P22" i="60" s="1"/>
  <c r="Q22" i="60" s="1"/>
  <c r="H54" i="60"/>
  <c r="H55" i="60" s="1"/>
  <c r="H22" i="60" s="1"/>
  <c r="N54" i="60"/>
  <c r="N55" i="60" s="1"/>
  <c r="N22" i="60" s="1"/>
  <c r="F54" i="60"/>
  <c r="F55" i="60" s="1"/>
  <c r="F22" i="60" s="1"/>
  <c r="L54" i="60"/>
  <c r="L55" i="60" s="1"/>
  <c r="L22" i="60" s="1"/>
  <c r="D54" i="60"/>
  <c r="D55" i="60" s="1"/>
  <c r="D22" i="60" s="1"/>
  <c r="J54" i="60"/>
  <c r="J55" i="60" s="1"/>
  <c r="J22" i="60" s="1"/>
  <c r="B54" i="60"/>
  <c r="B55" i="60" s="1"/>
  <c r="B22" i="60" s="1"/>
  <c r="B50" i="59"/>
  <c r="B51" i="59" s="1"/>
  <c r="B18" i="59" s="1"/>
  <c r="P50" i="59"/>
  <c r="P51" i="59" s="1"/>
  <c r="P18" i="59" s="1"/>
  <c r="Q18" i="59" s="1"/>
  <c r="H50" i="59"/>
  <c r="H51" i="59" s="1"/>
  <c r="H18" i="59" s="1"/>
  <c r="N50" i="59"/>
  <c r="N51" i="59" s="1"/>
  <c r="N18" i="59" s="1"/>
  <c r="F50" i="59"/>
  <c r="F51" i="59" s="1"/>
  <c r="F18" i="59" s="1"/>
  <c r="L50" i="59"/>
  <c r="L51" i="59" s="1"/>
  <c r="L18" i="59" s="1"/>
  <c r="D50" i="59"/>
  <c r="D51" i="59" s="1"/>
  <c r="D18" i="59" s="1"/>
  <c r="J50" i="59"/>
  <c r="J51" i="59" s="1"/>
  <c r="J18" i="59" s="1"/>
  <c r="N44" i="57"/>
  <c r="N30" i="57" s="1"/>
  <c r="F44" i="57"/>
  <c r="F30" i="57" s="1"/>
  <c r="L44" i="57"/>
  <c r="L30" i="57" s="1"/>
  <c r="F44" i="58"/>
  <c r="F30" i="58" s="1"/>
  <c r="L44" i="58"/>
  <c r="L30" i="58" s="1"/>
  <c r="J44" i="58"/>
  <c r="J30" i="58" s="1"/>
  <c r="B44" i="58"/>
  <c r="B30" i="58" s="1"/>
  <c r="P44" i="58"/>
  <c r="P30" i="58" s="1"/>
  <c r="H44" i="58"/>
  <c r="H30" i="58" s="1"/>
  <c r="B42" i="58"/>
  <c r="N44" i="58"/>
  <c r="N30" i="58" s="1"/>
  <c r="J44" i="57"/>
  <c r="J30" i="57" s="1"/>
  <c r="B44" i="57"/>
  <c r="B30" i="57" s="1"/>
  <c r="H44" i="57"/>
  <c r="H30" i="57" s="1"/>
  <c r="P44" i="57"/>
  <c r="P30" i="57" s="1"/>
  <c r="B42" i="57"/>
  <c r="F49" i="55"/>
  <c r="F35" i="55" s="1"/>
  <c r="L49" i="55"/>
  <c r="L35" i="55" s="1"/>
  <c r="D49" i="55"/>
  <c r="D35" i="55" s="1"/>
  <c r="P49" i="55"/>
  <c r="P35" i="55" s="1"/>
  <c r="H49" i="55"/>
  <c r="H35" i="55" s="1"/>
  <c r="B47" i="55"/>
  <c r="J49" i="55"/>
  <c r="J35" i="55" s="1"/>
  <c r="B49" i="55"/>
  <c r="B35" i="55" s="1"/>
  <c r="B41" i="53"/>
  <c r="N44" i="53" s="1"/>
  <c r="N30" i="53" s="1"/>
  <c r="N46" i="54"/>
  <c r="N32" i="54" s="1"/>
  <c r="F46" i="54"/>
  <c r="F32" i="54" s="1"/>
  <c r="H46" i="54"/>
  <c r="H32" i="54" s="1"/>
  <c r="J46" i="54"/>
  <c r="J32" i="54" s="1"/>
  <c r="P46" i="54"/>
  <c r="P32" i="54" s="1"/>
  <c r="L46" i="54"/>
  <c r="L32" i="54" s="1"/>
  <c r="B49" i="53"/>
  <c r="C73" i="53"/>
  <c r="B41" i="52"/>
  <c r="B44" i="52" s="1"/>
  <c r="B30" i="52" s="1"/>
  <c r="C73" i="52"/>
  <c r="B49" i="52"/>
  <c r="J50" i="58" l="1"/>
  <c r="J51" i="58" s="1"/>
  <c r="J18" i="58" s="1"/>
  <c r="B50" i="58"/>
  <c r="B51" i="58" s="1"/>
  <c r="B18" i="58" s="1"/>
  <c r="P50" i="58"/>
  <c r="P51" i="58" s="1"/>
  <c r="P18" i="58" s="1"/>
  <c r="Q18" i="58" s="1"/>
  <c r="H50" i="58"/>
  <c r="H51" i="58" s="1"/>
  <c r="H18" i="58" s="1"/>
  <c r="N50" i="58"/>
  <c r="N51" i="58" s="1"/>
  <c r="N18" i="58" s="1"/>
  <c r="F50" i="58"/>
  <c r="F51" i="58" s="1"/>
  <c r="F18" i="58" s="1"/>
  <c r="L50" i="58"/>
  <c r="L51" i="58" s="1"/>
  <c r="L18" i="58" s="1"/>
  <c r="D50" i="58"/>
  <c r="D51" i="58" s="1"/>
  <c r="D18" i="58" s="1"/>
  <c r="J50" i="57"/>
  <c r="J51" i="57" s="1"/>
  <c r="J18" i="57" s="1"/>
  <c r="B50" i="57"/>
  <c r="B51" i="57" s="1"/>
  <c r="B18" i="57" s="1"/>
  <c r="P50" i="57"/>
  <c r="P51" i="57" s="1"/>
  <c r="P18" i="57" s="1"/>
  <c r="Q18" i="57" s="1"/>
  <c r="H50" i="57"/>
  <c r="H51" i="57" s="1"/>
  <c r="H18" i="57" s="1"/>
  <c r="N50" i="57"/>
  <c r="N51" i="57" s="1"/>
  <c r="N18" i="57" s="1"/>
  <c r="F50" i="57"/>
  <c r="F51" i="57" s="1"/>
  <c r="F18" i="57" s="1"/>
  <c r="L50" i="57"/>
  <c r="L51" i="57" s="1"/>
  <c r="L18" i="57" s="1"/>
  <c r="D50" i="57"/>
  <c r="D51" i="57" s="1"/>
  <c r="D18" i="57" s="1"/>
  <c r="B44" i="53"/>
  <c r="B30" i="53" s="1"/>
  <c r="H44" i="53"/>
  <c r="H30" i="53" s="1"/>
  <c r="P44" i="53"/>
  <c r="P30" i="53" s="1"/>
  <c r="J55" i="55"/>
  <c r="J56" i="55" s="1"/>
  <c r="J23" i="55" s="1"/>
  <c r="B55" i="55"/>
  <c r="B56" i="55" s="1"/>
  <c r="B23" i="55" s="1"/>
  <c r="L55" i="55"/>
  <c r="L56" i="55" s="1"/>
  <c r="L23" i="55" s="1"/>
  <c r="D55" i="55"/>
  <c r="D56" i="55" s="1"/>
  <c r="D23" i="55" s="1"/>
  <c r="P55" i="55"/>
  <c r="P56" i="55" s="1"/>
  <c r="P23" i="55" s="1"/>
  <c r="Q23" i="55" s="1"/>
  <c r="H55" i="55"/>
  <c r="H56" i="55" s="1"/>
  <c r="H23" i="55" s="1"/>
  <c r="N55" i="55"/>
  <c r="N56" i="55" s="1"/>
  <c r="N23" i="55" s="1"/>
  <c r="F55" i="55"/>
  <c r="F56" i="55" s="1"/>
  <c r="F23" i="55" s="1"/>
  <c r="L44" i="53"/>
  <c r="L30" i="53" s="1"/>
  <c r="J44" i="53"/>
  <c r="J30" i="53" s="1"/>
  <c r="F44" i="53"/>
  <c r="F30" i="53" s="1"/>
  <c r="D44" i="53"/>
  <c r="D30" i="53" s="1"/>
  <c r="B42" i="53"/>
  <c r="B50" i="53" s="1"/>
  <c r="B51" i="53" s="1"/>
  <c r="B18" i="53" s="1"/>
  <c r="J52" i="54"/>
  <c r="J53" i="54" s="1"/>
  <c r="J20" i="54" s="1"/>
  <c r="B20" i="54"/>
  <c r="P52" i="54"/>
  <c r="P53" i="54" s="1"/>
  <c r="P20" i="54" s="1"/>
  <c r="Q20" i="54" s="1"/>
  <c r="H52" i="54"/>
  <c r="H53" i="54" s="1"/>
  <c r="H20" i="54" s="1"/>
  <c r="N52" i="54"/>
  <c r="N53" i="54" s="1"/>
  <c r="N20" i="54" s="1"/>
  <c r="F52" i="54"/>
  <c r="F53" i="54" s="1"/>
  <c r="F20" i="54" s="1"/>
  <c r="L52" i="54"/>
  <c r="L53" i="54" s="1"/>
  <c r="L20" i="54" s="1"/>
  <c r="D52" i="54"/>
  <c r="D53" i="54" s="1"/>
  <c r="D20" i="54" s="1"/>
  <c r="D44" i="52"/>
  <c r="D30" i="52" s="1"/>
  <c r="F44" i="52"/>
  <c r="F30" i="52" s="1"/>
  <c r="J44" i="52"/>
  <c r="J30" i="52" s="1"/>
  <c r="L44" i="52"/>
  <c r="L30" i="52" s="1"/>
  <c r="P44" i="52"/>
  <c r="P30" i="52" s="1"/>
  <c r="H44" i="52"/>
  <c r="H30" i="52" s="1"/>
  <c r="B42" i="52"/>
  <c r="N44" i="52"/>
  <c r="N30" i="52" s="1"/>
  <c r="C74" i="30"/>
  <c r="F69" i="30"/>
  <c r="J69" i="30" s="1"/>
  <c r="B48" i="30" s="1"/>
  <c r="J43" i="30"/>
  <c r="F43" i="30"/>
  <c r="D43" i="30"/>
  <c r="B43" i="30"/>
  <c r="B40" i="30"/>
  <c r="O9" i="30"/>
  <c r="N43" i="30" s="1"/>
  <c r="M9" i="30"/>
  <c r="L43" i="30" s="1"/>
  <c r="I9" i="30"/>
  <c r="H43" i="30" s="1"/>
  <c r="E1" i="30"/>
  <c r="D73" i="30" s="1"/>
  <c r="F50" i="53" l="1"/>
  <c r="F51" i="53" s="1"/>
  <c r="F18" i="53" s="1"/>
  <c r="J50" i="53"/>
  <c r="J51" i="53" s="1"/>
  <c r="J18" i="53" s="1"/>
  <c r="P50" i="53"/>
  <c r="P51" i="53" s="1"/>
  <c r="P18" i="53" s="1"/>
  <c r="Q18" i="53" s="1"/>
  <c r="D50" i="53"/>
  <c r="D51" i="53" s="1"/>
  <c r="D18" i="53" s="1"/>
  <c r="N50" i="53"/>
  <c r="N51" i="53" s="1"/>
  <c r="N18" i="53" s="1"/>
  <c r="L50" i="53"/>
  <c r="L51" i="53" s="1"/>
  <c r="L18" i="53" s="1"/>
  <c r="H50" i="53"/>
  <c r="H51" i="53" s="1"/>
  <c r="H18" i="53" s="1"/>
  <c r="J50" i="52"/>
  <c r="J51" i="52" s="1"/>
  <c r="J18" i="52" s="1"/>
  <c r="B50" i="52"/>
  <c r="B51" i="52" s="1"/>
  <c r="B18" i="52" s="1"/>
  <c r="P50" i="52"/>
  <c r="P51" i="52" s="1"/>
  <c r="P18" i="52" s="1"/>
  <c r="Q18" i="52" s="1"/>
  <c r="H50" i="52"/>
  <c r="H51" i="52" s="1"/>
  <c r="H18" i="52" s="1"/>
  <c r="L50" i="52"/>
  <c r="L51" i="52" s="1"/>
  <c r="L18" i="52" s="1"/>
  <c r="D50" i="52"/>
  <c r="D51" i="52" s="1"/>
  <c r="D18" i="52" s="1"/>
  <c r="N50" i="52"/>
  <c r="N51" i="52" s="1"/>
  <c r="N18" i="52" s="1"/>
  <c r="F50" i="52"/>
  <c r="F51" i="52" s="1"/>
  <c r="F18" i="52" s="1"/>
  <c r="B49" i="30"/>
  <c r="B41" i="30"/>
  <c r="F44" i="30" s="1"/>
  <c r="F30" i="30" s="1"/>
  <c r="C73" i="30"/>
  <c r="C74" i="29"/>
  <c r="F69" i="29"/>
  <c r="J69" i="29" s="1"/>
  <c r="B48" i="29" s="1"/>
  <c r="J43" i="29"/>
  <c r="F43" i="29"/>
  <c r="D43" i="29"/>
  <c r="B43" i="29"/>
  <c r="B40" i="29"/>
  <c r="O9" i="29"/>
  <c r="N43" i="29" s="1"/>
  <c r="M9" i="29"/>
  <c r="L43" i="29" s="1"/>
  <c r="I9" i="29"/>
  <c r="H43" i="29" s="1"/>
  <c r="E1" i="29"/>
  <c r="D73" i="29" s="1"/>
  <c r="B49" i="29" l="1"/>
  <c r="J44" i="30"/>
  <c r="J30" i="30" s="1"/>
  <c r="B44" i="30"/>
  <c r="B30" i="30" s="1"/>
  <c r="B42" i="30"/>
  <c r="H44" i="30"/>
  <c r="H30" i="30" s="1"/>
  <c r="N44" i="30"/>
  <c r="N30" i="30" s="1"/>
  <c r="L44" i="30"/>
  <c r="L30" i="30" s="1"/>
  <c r="D44" i="30"/>
  <c r="D30" i="30" s="1"/>
  <c r="B41" i="29"/>
  <c r="B44" i="29" s="1"/>
  <c r="B30" i="29" s="1"/>
  <c r="C73" i="29"/>
  <c r="L50" i="30" l="1"/>
  <c r="L51" i="30" s="1"/>
  <c r="L18" i="30" s="1"/>
  <c r="D50" i="30"/>
  <c r="D51" i="30" s="1"/>
  <c r="D18" i="30" s="1"/>
  <c r="H50" i="30"/>
  <c r="H51" i="30" s="1"/>
  <c r="H18" i="30" s="1"/>
  <c r="N50" i="30"/>
  <c r="N51" i="30" s="1"/>
  <c r="N18" i="30" s="1"/>
  <c r="O18" i="30" s="1"/>
  <c r="J50" i="30"/>
  <c r="J51" i="30" s="1"/>
  <c r="J18" i="30" s="1"/>
  <c r="B50" i="30"/>
  <c r="B51" i="30" s="1"/>
  <c r="B18" i="30" s="1"/>
  <c r="F50" i="30"/>
  <c r="F51" i="30" s="1"/>
  <c r="F18" i="30" s="1"/>
  <c r="J44" i="29"/>
  <c r="J30" i="29" s="1"/>
  <c r="F44" i="29"/>
  <c r="F30" i="29" s="1"/>
  <c r="N44" i="29"/>
  <c r="N30" i="29" s="1"/>
  <c r="H44" i="29"/>
  <c r="H30" i="29" s="1"/>
  <c r="L44" i="29"/>
  <c r="L30" i="29" s="1"/>
  <c r="B42" i="29"/>
  <c r="N50" i="29" s="1"/>
  <c r="N51" i="29" s="1"/>
  <c r="N18" i="29" s="1"/>
  <c r="O18" i="29" s="1"/>
  <c r="D44" i="29"/>
  <c r="D30" i="29" s="1"/>
  <c r="B50" i="29" l="1"/>
  <c r="B51" i="29" s="1"/>
  <c r="B18" i="29" s="1"/>
  <c r="H50" i="29"/>
  <c r="H51" i="29" s="1"/>
  <c r="H18" i="29" s="1"/>
  <c r="J50" i="29"/>
  <c r="J51" i="29" s="1"/>
  <c r="J18" i="29" s="1"/>
  <c r="D50" i="29"/>
  <c r="D51" i="29" s="1"/>
  <c r="D18" i="29" s="1"/>
  <c r="F50" i="29"/>
  <c r="F51" i="29" s="1"/>
  <c r="F18" i="29" s="1"/>
  <c r="L50" i="29"/>
  <c r="L51" i="29" s="1"/>
  <c r="L18" i="29" s="1"/>
  <c r="C74" i="26"/>
  <c r="F69" i="26"/>
  <c r="J69" i="26" s="1"/>
  <c r="B48" i="26" s="1"/>
  <c r="J43" i="26"/>
  <c r="F43" i="26"/>
  <c r="D43" i="26"/>
  <c r="B43" i="26"/>
  <c r="B40" i="26"/>
  <c r="O9" i="26"/>
  <c r="N43" i="26" s="1"/>
  <c r="M9" i="26"/>
  <c r="L43" i="26" s="1"/>
  <c r="I9" i="26"/>
  <c r="H43" i="26" s="1"/>
  <c r="E1" i="26"/>
  <c r="C73" i="26" s="1"/>
  <c r="B41" i="26" l="1"/>
  <c r="L44" i="26" s="1"/>
  <c r="L30" i="26" s="1"/>
  <c r="B49" i="26"/>
  <c r="D73" i="26"/>
  <c r="D44" i="26" l="1"/>
  <c r="D30" i="26" s="1"/>
  <c r="N44" i="26"/>
  <c r="N30" i="26" s="1"/>
  <c r="B42" i="26"/>
  <c r="B50" i="26" s="1"/>
  <c r="B51" i="26" s="1"/>
  <c r="B18" i="26" s="1"/>
  <c r="F44" i="26"/>
  <c r="F30" i="26" s="1"/>
  <c r="B44" i="26"/>
  <c r="B30" i="26" s="1"/>
  <c r="H44" i="26"/>
  <c r="H30" i="26" s="1"/>
  <c r="J44" i="26"/>
  <c r="J30" i="26" s="1"/>
  <c r="J50" i="26" l="1"/>
  <c r="J51" i="26" s="1"/>
  <c r="J18" i="26" s="1"/>
  <c r="D50" i="26"/>
  <c r="D51" i="26" s="1"/>
  <c r="D18" i="26" s="1"/>
  <c r="L50" i="26"/>
  <c r="L51" i="26" s="1"/>
  <c r="L18" i="26" s="1"/>
  <c r="N50" i="26"/>
  <c r="N51" i="26" s="1"/>
  <c r="N18" i="26" s="1"/>
  <c r="O18" i="26" s="1"/>
  <c r="F50" i="26"/>
  <c r="F51" i="26" s="1"/>
  <c r="F18" i="26" s="1"/>
  <c r="H50" i="26"/>
  <c r="H51" i="26" s="1"/>
  <c r="H18" i="26" s="1"/>
  <c r="C75" i="18" l="1"/>
  <c r="F70" i="18"/>
  <c r="J70" i="18" s="1"/>
  <c r="B49" i="18" s="1"/>
  <c r="J44" i="18"/>
  <c r="F44" i="18"/>
  <c r="D44" i="18"/>
  <c r="B44" i="18"/>
  <c r="B41" i="18"/>
  <c r="O9" i="18"/>
  <c r="N44" i="18" s="1"/>
  <c r="M9" i="18"/>
  <c r="L44" i="18" s="1"/>
  <c r="I9" i="18"/>
  <c r="H44" i="18" s="1"/>
  <c r="E1" i="18"/>
  <c r="D74" i="18" s="1"/>
  <c r="B50" i="18" l="1"/>
  <c r="B42" i="18"/>
  <c r="F45" i="18" s="1"/>
  <c r="F31" i="18" s="1"/>
  <c r="C74" i="18"/>
  <c r="D45" i="18" l="1"/>
  <c r="D31" i="18" s="1"/>
  <c r="J45" i="18"/>
  <c r="J31" i="18" s="1"/>
  <c r="B43" i="18"/>
  <c r="H45" i="18"/>
  <c r="H31" i="18" s="1"/>
  <c r="N45" i="18"/>
  <c r="N31" i="18" s="1"/>
  <c r="B45" i="18"/>
  <c r="B31" i="18" s="1"/>
  <c r="L45" i="18"/>
  <c r="L31" i="18" s="1"/>
  <c r="L51" i="18" l="1"/>
  <c r="L52" i="18" s="1"/>
  <c r="L18" i="18" s="1"/>
  <c r="J51" i="18"/>
  <c r="J52" i="18" s="1"/>
  <c r="J18" i="18" s="1"/>
  <c r="D51" i="18"/>
  <c r="D52" i="18" s="1"/>
  <c r="D18" i="18" s="1"/>
  <c r="N51" i="18"/>
  <c r="N52" i="18" s="1"/>
  <c r="N18" i="18" s="1"/>
  <c r="O18" i="18" s="1"/>
  <c r="B51" i="18"/>
  <c r="B52" i="18" s="1"/>
  <c r="B18" i="18" s="1"/>
  <c r="H51" i="18"/>
  <c r="H52" i="18" s="1"/>
  <c r="H18" i="18" s="1"/>
  <c r="F51" i="18"/>
  <c r="F52" i="18" s="1"/>
  <c r="F18" i="18" s="1"/>
  <c r="C75" i="13" l="1"/>
  <c r="F70" i="13"/>
  <c r="J70" i="13" s="1"/>
  <c r="B49" i="13" s="1"/>
  <c r="J44" i="13"/>
  <c r="F44" i="13"/>
  <c r="D44" i="13"/>
  <c r="B44" i="13"/>
  <c r="B41" i="13"/>
  <c r="O9" i="13"/>
  <c r="N44" i="13" s="1"/>
  <c r="M9" i="13"/>
  <c r="L44" i="13" s="1"/>
  <c r="I9" i="13"/>
  <c r="H44" i="13" s="1"/>
  <c r="E1" i="13"/>
  <c r="D74" i="13" s="1"/>
  <c r="C75" i="12"/>
  <c r="F70" i="12"/>
  <c r="J70" i="12" s="1"/>
  <c r="B49" i="12" s="1"/>
  <c r="J44" i="12"/>
  <c r="F44" i="12"/>
  <c r="D44" i="12"/>
  <c r="B44" i="12"/>
  <c r="B41" i="12"/>
  <c r="O9" i="12"/>
  <c r="N44" i="12" s="1"/>
  <c r="M9" i="12"/>
  <c r="L44" i="12" s="1"/>
  <c r="I9" i="12"/>
  <c r="H44" i="12" s="1"/>
  <c r="E1" i="12"/>
  <c r="D74" i="12" s="1"/>
  <c r="B42" i="12" l="1"/>
  <c r="H45" i="12" s="1"/>
  <c r="H31" i="12" s="1"/>
  <c r="B42" i="13"/>
  <c r="N45" i="13" s="1"/>
  <c r="N31" i="13" s="1"/>
  <c r="B50" i="13"/>
  <c r="C74" i="13"/>
  <c r="B50" i="12"/>
  <c r="C74" i="12"/>
  <c r="F45" i="12" l="1"/>
  <c r="F31" i="12" s="1"/>
  <c r="N45" i="12"/>
  <c r="N31" i="12" s="1"/>
  <c r="J45" i="12"/>
  <c r="J31" i="12" s="1"/>
  <c r="L45" i="12"/>
  <c r="L31" i="12" s="1"/>
  <c r="B45" i="12"/>
  <c r="B31" i="12" s="1"/>
  <c r="D45" i="12"/>
  <c r="D31" i="12" s="1"/>
  <c r="B43" i="12"/>
  <c r="J51" i="12" s="1"/>
  <c r="J52" i="12" s="1"/>
  <c r="J18" i="12" s="1"/>
  <c r="F45" i="13"/>
  <c r="F31" i="13" s="1"/>
  <c r="H45" i="13"/>
  <c r="H31" i="13" s="1"/>
  <c r="J45" i="13"/>
  <c r="J31" i="13" s="1"/>
  <c r="L45" i="13"/>
  <c r="L31" i="13" s="1"/>
  <c r="B43" i="13"/>
  <c r="D51" i="13" s="1"/>
  <c r="D52" i="13" s="1"/>
  <c r="D18" i="13" s="1"/>
  <c r="D45" i="13"/>
  <c r="D31" i="13" s="1"/>
  <c r="B45" i="13"/>
  <c r="B31" i="13" s="1"/>
  <c r="L51" i="12" l="1"/>
  <c r="L52" i="12" s="1"/>
  <c r="L18" i="12" s="1"/>
  <c r="N51" i="12"/>
  <c r="N52" i="12" s="1"/>
  <c r="N18" i="12" s="1"/>
  <c r="O18" i="12" s="1"/>
  <c r="H51" i="12"/>
  <c r="H52" i="12" s="1"/>
  <c r="H18" i="12" s="1"/>
  <c r="D51" i="12"/>
  <c r="D52" i="12" s="1"/>
  <c r="D18" i="12" s="1"/>
  <c r="B51" i="12"/>
  <c r="B52" i="12" s="1"/>
  <c r="B18" i="12" s="1"/>
  <c r="F51" i="12"/>
  <c r="F52" i="12" s="1"/>
  <c r="F18" i="12" s="1"/>
  <c r="B51" i="13"/>
  <c r="B52" i="13" s="1"/>
  <c r="B18" i="13" s="1"/>
  <c r="L51" i="13"/>
  <c r="L52" i="13" s="1"/>
  <c r="L18" i="13" s="1"/>
  <c r="H51" i="13"/>
  <c r="H52" i="13" s="1"/>
  <c r="H18" i="13" s="1"/>
  <c r="F51" i="13"/>
  <c r="F52" i="13" s="1"/>
  <c r="F18" i="13" s="1"/>
  <c r="J51" i="13"/>
  <c r="J52" i="13" s="1"/>
  <c r="J18" i="13" s="1"/>
  <c r="N51" i="13"/>
  <c r="N52" i="13" s="1"/>
  <c r="N18" i="13" s="1"/>
  <c r="O18" i="13" s="1"/>
  <c r="C75" i="8" l="1"/>
  <c r="F70" i="8"/>
  <c r="J70" i="8" s="1"/>
  <c r="B49" i="8" s="1"/>
  <c r="J44" i="8"/>
  <c r="F44" i="8"/>
  <c r="D44" i="8"/>
  <c r="B44" i="8"/>
  <c r="B41" i="8"/>
  <c r="O9" i="8"/>
  <c r="N44" i="8" s="1"/>
  <c r="M9" i="8"/>
  <c r="L44" i="8" s="1"/>
  <c r="I9" i="8"/>
  <c r="H44" i="8" s="1"/>
  <c r="E1" i="8"/>
  <c r="C74" i="8" s="1"/>
  <c r="B42" i="8" l="1"/>
  <c r="L45" i="8" s="1"/>
  <c r="L31" i="8" s="1"/>
  <c r="B50" i="8"/>
  <c r="D74" i="8"/>
  <c r="C75" i="7"/>
  <c r="F70" i="7"/>
  <c r="J70" i="7" s="1"/>
  <c r="B49" i="7" s="1"/>
  <c r="J44" i="7"/>
  <c r="F44" i="7"/>
  <c r="D44" i="7"/>
  <c r="B44" i="7"/>
  <c r="B41" i="7"/>
  <c r="O9" i="7"/>
  <c r="N44" i="7" s="1"/>
  <c r="M9" i="7"/>
  <c r="L44" i="7" s="1"/>
  <c r="I9" i="7"/>
  <c r="H44" i="7" s="1"/>
  <c r="E1" i="7"/>
  <c r="D74" i="7" s="1"/>
  <c r="C75" i="6"/>
  <c r="F70" i="6"/>
  <c r="J70" i="6" s="1"/>
  <c r="B49" i="6" s="1"/>
  <c r="J44" i="6"/>
  <c r="F44" i="6"/>
  <c r="D44" i="6"/>
  <c r="B44" i="6"/>
  <c r="B41" i="6"/>
  <c r="O9" i="6"/>
  <c r="N44" i="6" s="1"/>
  <c r="M9" i="6"/>
  <c r="L44" i="6" s="1"/>
  <c r="I9" i="6"/>
  <c r="H44" i="6" s="1"/>
  <c r="E1" i="6"/>
  <c r="D74" i="6" s="1"/>
  <c r="J45" i="8" l="1"/>
  <c r="J31" i="8" s="1"/>
  <c r="D45" i="8"/>
  <c r="D31" i="8" s="1"/>
  <c r="B43" i="8"/>
  <c r="J51" i="8" s="1"/>
  <c r="J52" i="8" s="1"/>
  <c r="J18" i="8" s="1"/>
  <c r="B42" i="7"/>
  <c r="L45" i="7" s="1"/>
  <c r="L31" i="7" s="1"/>
  <c r="F45" i="8"/>
  <c r="F31" i="8" s="1"/>
  <c r="H45" i="8"/>
  <c r="H31" i="8" s="1"/>
  <c r="B42" i="6"/>
  <c r="H45" i="6" s="1"/>
  <c r="H31" i="6" s="1"/>
  <c r="B50" i="7"/>
  <c r="N45" i="8"/>
  <c r="N31" i="8" s="1"/>
  <c r="B45" i="8"/>
  <c r="B31" i="8" s="1"/>
  <c r="C74" i="7"/>
  <c r="B50" i="6"/>
  <c r="C74" i="6"/>
  <c r="F45" i="7" l="1"/>
  <c r="F31" i="7" s="1"/>
  <c r="B45" i="7"/>
  <c r="B31" i="7" s="1"/>
  <c r="N51" i="8"/>
  <c r="N52" i="8" s="1"/>
  <c r="N18" i="8" s="1"/>
  <c r="O18" i="8" s="1"/>
  <c r="J45" i="6"/>
  <c r="J31" i="6" s="1"/>
  <c r="H45" i="7"/>
  <c r="H31" i="7" s="1"/>
  <c r="D51" i="8"/>
  <c r="D52" i="8" s="1"/>
  <c r="D18" i="8" s="1"/>
  <c r="J45" i="7"/>
  <c r="J31" i="7" s="1"/>
  <c r="B45" i="6"/>
  <c r="B31" i="6" s="1"/>
  <c r="D45" i="7"/>
  <c r="D31" i="7" s="1"/>
  <c r="L51" i="8"/>
  <c r="L52" i="8" s="1"/>
  <c r="L18" i="8" s="1"/>
  <c r="N45" i="7"/>
  <c r="N31" i="7" s="1"/>
  <c r="L45" i="6"/>
  <c r="L31" i="6" s="1"/>
  <c r="N45" i="6"/>
  <c r="N31" i="6" s="1"/>
  <c r="B43" i="7"/>
  <c r="L51" i="7" s="1"/>
  <c r="L52" i="7" s="1"/>
  <c r="L18" i="7" s="1"/>
  <c r="F51" i="8"/>
  <c r="F52" i="8" s="1"/>
  <c r="F18" i="8" s="1"/>
  <c r="B51" i="8"/>
  <c r="B52" i="8" s="1"/>
  <c r="B18" i="8" s="1"/>
  <c r="H51" i="8"/>
  <c r="H52" i="8" s="1"/>
  <c r="H18" i="8" s="1"/>
  <c r="D45" i="6"/>
  <c r="D31" i="6" s="1"/>
  <c r="B43" i="6"/>
  <c r="J51" i="6" s="1"/>
  <c r="J52" i="6" s="1"/>
  <c r="J18" i="6" s="1"/>
  <c r="F45" i="6"/>
  <c r="F31" i="6" s="1"/>
  <c r="B51" i="7" l="1"/>
  <c r="B52" i="7" s="1"/>
  <c r="B18" i="7" s="1"/>
  <c r="L51" i="6"/>
  <c r="L52" i="6" s="1"/>
  <c r="L18" i="6" s="1"/>
  <c r="F51" i="7"/>
  <c r="F52" i="7" s="1"/>
  <c r="F18" i="7" s="1"/>
  <c r="B51" i="6"/>
  <c r="B52" i="6" s="1"/>
  <c r="B18" i="6" s="1"/>
  <c r="H51" i="6"/>
  <c r="H52" i="6" s="1"/>
  <c r="H18" i="6" s="1"/>
  <c r="N51" i="6"/>
  <c r="N52" i="6" s="1"/>
  <c r="N18" i="6" s="1"/>
  <c r="O18" i="6" s="1"/>
  <c r="N51" i="7"/>
  <c r="N52" i="7" s="1"/>
  <c r="N18" i="7" s="1"/>
  <c r="O18" i="7" s="1"/>
  <c r="D51" i="7"/>
  <c r="D52" i="7" s="1"/>
  <c r="D18" i="7" s="1"/>
  <c r="J51" i="7"/>
  <c r="J52" i="7" s="1"/>
  <c r="J18" i="7" s="1"/>
  <c r="H51" i="7"/>
  <c r="H52" i="7" s="1"/>
  <c r="H18" i="7" s="1"/>
  <c r="D51" i="6"/>
  <c r="D52" i="6" s="1"/>
  <c r="D18" i="6" s="1"/>
  <c r="F51" i="6"/>
  <c r="F52" i="6" s="1"/>
  <c r="F18" i="6" s="1"/>
</calcChain>
</file>

<file path=xl/sharedStrings.xml><?xml version="1.0" encoding="utf-8"?>
<sst xmlns="http://schemas.openxmlformats.org/spreadsheetml/2006/main" count="7628" uniqueCount="752">
  <si>
    <t>Team</t>
  </si>
  <si>
    <t xml:space="preserve">FO </t>
    <phoneticPr fontId="8" type="noConversion"/>
  </si>
  <si>
    <t>SMM</t>
    <phoneticPr fontId="8" type="noConversion"/>
  </si>
  <si>
    <t>SFM</t>
    <phoneticPr fontId="9" type="noConversion"/>
  </si>
  <si>
    <t>GMC</t>
    <phoneticPr fontId="9" type="noConversion"/>
  </si>
  <si>
    <t>MC</t>
    <phoneticPr fontId="8" type="noConversion"/>
  </si>
  <si>
    <t>CPPC &amp; NSM</t>
    <phoneticPr fontId="4" type="noConversion"/>
  </si>
  <si>
    <t>DRO</t>
    <phoneticPr fontId="4" type="noConversion"/>
  </si>
  <si>
    <t>OPD</t>
    <phoneticPr fontId="9" type="noConversion"/>
  </si>
  <si>
    <t>MSC</t>
    <phoneticPr fontId="9" type="noConversion"/>
  </si>
  <si>
    <t>Gait Lab</t>
  </si>
  <si>
    <t>PT</t>
    <phoneticPr fontId="9" type="noConversion"/>
  </si>
  <si>
    <t>Ivan</t>
    <phoneticPr fontId="4" type="noConversion"/>
  </si>
  <si>
    <t>Katie</t>
    <phoneticPr fontId="4" type="noConversion"/>
  </si>
  <si>
    <t>Cherry</t>
    <phoneticPr fontId="4" type="noConversion"/>
  </si>
  <si>
    <t>Amanda</t>
    <phoneticPr fontId="4" type="noConversion"/>
  </si>
  <si>
    <t>Harry</t>
    <phoneticPr fontId="4" type="noConversion"/>
  </si>
  <si>
    <t>Katie AM FO +/- 0.25 PM, Vincent Lam every Fri 0.75 (preferably GMC/CPPC)</t>
    <phoneticPr fontId="4" type="noConversion"/>
  </si>
  <si>
    <t>Sam</t>
    <phoneticPr fontId="4" type="noConversion"/>
  </si>
  <si>
    <t>Ken Tung</t>
    <phoneticPr fontId="4" type="noConversion"/>
  </si>
  <si>
    <t>Kin</t>
    <phoneticPr fontId="4" type="noConversion"/>
  </si>
  <si>
    <t>Ivy</t>
    <phoneticPr fontId="4" type="noConversion"/>
  </si>
  <si>
    <t>Aster</t>
    <phoneticPr fontId="4" type="noConversion"/>
  </si>
  <si>
    <t>Yannis</t>
    <phoneticPr fontId="4" type="noConversion"/>
  </si>
  <si>
    <t>Tiffany</t>
    <phoneticPr fontId="4" type="noConversion"/>
  </si>
  <si>
    <t>Wilson</t>
    <phoneticPr fontId="4" type="noConversion"/>
  </si>
  <si>
    <t>Tim</t>
    <phoneticPr fontId="4" type="noConversion"/>
  </si>
  <si>
    <t>Lucas</t>
    <phoneticPr fontId="4" type="noConversion"/>
  </si>
  <si>
    <t>Hang</t>
    <phoneticPr fontId="4" type="noConversion"/>
  </si>
  <si>
    <t>Eric Mon 0.5 AM
Aggie Wed CRP_8 beds</t>
    <phoneticPr fontId="4" type="noConversion"/>
  </si>
  <si>
    <t>Manfield (Nil RBIP duty since march 2025)</t>
    <phoneticPr fontId="4" type="noConversion"/>
  </si>
  <si>
    <t>Julie</t>
    <phoneticPr fontId="4" type="noConversion"/>
  </si>
  <si>
    <t>Derek</t>
    <phoneticPr fontId="4" type="noConversion"/>
  </si>
  <si>
    <t>Oscar</t>
    <phoneticPr fontId="4" type="noConversion"/>
  </si>
  <si>
    <t>Stella</t>
    <phoneticPr fontId="4" type="noConversion"/>
  </si>
  <si>
    <t>Dewey</t>
    <phoneticPr fontId="4" type="noConversion"/>
  </si>
  <si>
    <t>PM</t>
    <phoneticPr fontId="4" type="noConversion"/>
  </si>
  <si>
    <t>Trinity</t>
    <phoneticPr fontId="4" type="noConversion"/>
  </si>
  <si>
    <t>Jeff</t>
    <phoneticPr fontId="4" type="noConversion"/>
  </si>
  <si>
    <t>AM</t>
    <phoneticPr fontId="4" type="noConversion"/>
  </si>
  <si>
    <t>浩然 update robotics</t>
    <phoneticPr fontId="4" type="noConversion"/>
  </si>
  <si>
    <t>Alvin Mon-Wed in April</t>
    <phoneticPr fontId="4" type="noConversion"/>
  </si>
  <si>
    <t>Eric Tse</t>
    <phoneticPr fontId="4" type="noConversion"/>
  </si>
  <si>
    <t>Alex</t>
    <phoneticPr fontId="4" type="noConversion"/>
  </si>
  <si>
    <t>Man</t>
    <phoneticPr fontId="4" type="noConversion"/>
  </si>
  <si>
    <t xml:space="preserve">       </t>
    <phoneticPr fontId="4" type="noConversion"/>
  </si>
  <si>
    <t>Base 0 leave</t>
    <phoneticPr fontId="4" type="noConversion"/>
  </si>
  <si>
    <t>Becky</t>
    <phoneticPr fontId="4" type="noConversion"/>
  </si>
  <si>
    <t>Wallace</t>
    <phoneticPr fontId="4" type="noConversion"/>
  </si>
  <si>
    <t>Eric  Li</t>
    <phoneticPr fontId="4" type="noConversion"/>
  </si>
  <si>
    <t>Connie</t>
    <phoneticPr fontId="4" type="noConversion"/>
  </si>
  <si>
    <t>Alphonse</t>
    <phoneticPr fontId="4" type="noConversion"/>
  </si>
  <si>
    <t>Special program</t>
    <phoneticPr fontId="4" type="noConversion"/>
  </si>
  <si>
    <t>CRP</t>
    <phoneticPr fontId="4" type="noConversion"/>
  </si>
  <si>
    <t>DRM</t>
    <phoneticPr fontId="8" type="noConversion"/>
  </si>
  <si>
    <t>光劭</t>
    <phoneticPr fontId="4" type="noConversion"/>
  </si>
  <si>
    <t>Rainy</t>
    <phoneticPr fontId="4" type="noConversion"/>
  </si>
  <si>
    <t>Billy</t>
    <phoneticPr fontId="4" type="noConversion"/>
  </si>
  <si>
    <t xml:space="preserve">Supporting </t>
    <phoneticPr fontId="8" type="noConversion"/>
  </si>
  <si>
    <t>Whole day</t>
    <phoneticPr fontId="4" type="noConversion"/>
  </si>
  <si>
    <t>明</t>
    <phoneticPr fontId="4" type="noConversion"/>
  </si>
  <si>
    <t>桂花</t>
  </si>
  <si>
    <t xml:space="preserve">婉儀 </t>
    <phoneticPr fontId="4" type="noConversion"/>
  </si>
  <si>
    <t>少華</t>
    <phoneticPr fontId="4" type="noConversion"/>
  </si>
  <si>
    <t xml:space="preserve">張麗 </t>
  </si>
  <si>
    <t>秋</t>
    <phoneticPr fontId="4" type="noConversion"/>
  </si>
  <si>
    <t>浩然</t>
    <phoneticPr fontId="4" type="noConversion"/>
  </si>
  <si>
    <t>友好</t>
    <phoneticPr fontId="4" type="noConversion"/>
  </si>
  <si>
    <t>聞俊</t>
    <phoneticPr fontId="4" type="noConversion"/>
  </si>
  <si>
    <t>巧兒</t>
    <phoneticPr fontId="4" type="noConversion"/>
  </si>
  <si>
    <t>AM, 1500-1630</t>
    <phoneticPr fontId="4" type="noConversion"/>
  </si>
  <si>
    <t>麗雅</t>
    <phoneticPr fontId="4" type="noConversion"/>
  </si>
  <si>
    <t>1330-1500</t>
    <phoneticPr fontId="4" type="noConversion"/>
  </si>
  <si>
    <t xml:space="preserve">淑貞 </t>
    <phoneticPr fontId="4" type="noConversion"/>
  </si>
  <si>
    <t>1030-1200</t>
    <phoneticPr fontId="4" type="noConversion"/>
  </si>
  <si>
    <t>桂花</t>
    <phoneticPr fontId="4" type="noConversion"/>
  </si>
  <si>
    <t>Eunice</t>
    <phoneticPr fontId="4" type="noConversion"/>
  </si>
  <si>
    <t>荿萍</t>
    <phoneticPr fontId="4" type="noConversion"/>
  </si>
  <si>
    <t>1500-1630</t>
    <phoneticPr fontId="4" type="noConversion"/>
  </si>
  <si>
    <t>寶華</t>
    <phoneticPr fontId="4" type="noConversion"/>
  </si>
  <si>
    <t>Po Shan</t>
    <phoneticPr fontId="4" type="noConversion"/>
  </si>
  <si>
    <t>.</t>
    <phoneticPr fontId="4" type="noConversion"/>
  </si>
  <si>
    <t>張麗</t>
    <phoneticPr fontId="4" type="noConversion"/>
  </si>
  <si>
    <t>Pu Na</t>
    <phoneticPr fontId="4" type="noConversion"/>
  </si>
  <si>
    <t>秀芬</t>
    <phoneticPr fontId="4" type="noConversion"/>
  </si>
  <si>
    <t>AM Robotic</t>
    <phoneticPr fontId="4" type="noConversion"/>
  </si>
  <si>
    <t>PM Robotic</t>
    <phoneticPr fontId="4" type="noConversion"/>
  </si>
  <si>
    <t>0900-1030</t>
    <phoneticPr fontId="4" type="noConversion"/>
  </si>
  <si>
    <r>
      <rPr>
        <sz val="36"/>
        <color rgb="FF000000"/>
        <rFont val="細明體"/>
        <family val="3"/>
        <charset val="136"/>
      </rPr>
      <t>子健</t>
    </r>
    <phoneticPr fontId="4" type="noConversion"/>
  </si>
  <si>
    <r>
      <rPr>
        <sz val="36"/>
        <rFont val="Malgun Gothic Semilight"/>
        <family val="2"/>
        <charset val="136"/>
      </rPr>
      <t>銘淇</t>
    </r>
    <phoneticPr fontId="4" type="noConversion"/>
  </si>
  <si>
    <t>SHS:  / 
PCA: /</t>
    <phoneticPr fontId="4" type="noConversion"/>
  </si>
  <si>
    <t>```````````</t>
    <phoneticPr fontId="4" type="noConversion"/>
  </si>
  <si>
    <t>```````</t>
    <phoneticPr fontId="4" type="noConversion"/>
  </si>
  <si>
    <r>
      <t xml:space="preserve">Double check in morning                          </t>
    </r>
    <r>
      <rPr>
        <b/>
        <sz val="60"/>
        <color rgb="FFFF0000"/>
        <rFont val="Times New Roman"/>
        <family val="1"/>
      </rPr>
      <t>SHS 4 CASES   !!!!!!!!!!!!!!!!!!!!</t>
    </r>
    <phoneticPr fontId="4" type="noConversion"/>
  </si>
  <si>
    <r>
      <rPr>
        <sz val="34"/>
        <rFont val="新細明體"/>
        <family val="2"/>
        <charset val="136"/>
      </rPr>
      <t>秋</t>
    </r>
    <phoneticPr fontId="4" type="noConversion"/>
  </si>
  <si>
    <t>x</t>
    <phoneticPr fontId="4" type="noConversion"/>
  </si>
  <si>
    <r>
      <rPr>
        <sz val="34"/>
        <color theme="1"/>
        <rFont val="新細明體"/>
        <family val="2"/>
        <charset val="136"/>
      </rPr>
      <t>高玲</t>
    </r>
    <phoneticPr fontId="8" type="noConversion"/>
  </si>
  <si>
    <r>
      <rPr>
        <sz val="34"/>
        <color theme="1"/>
        <rFont val="新細明體"/>
        <family val="2"/>
        <charset val="136"/>
      </rPr>
      <t>張麗</t>
    </r>
    <phoneticPr fontId="4" type="noConversion"/>
  </si>
  <si>
    <r>
      <rPr>
        <sz val="28"/>
        <color theme="1"/>
        <rFont val="細明體"/>
        <family val="3"/>
        <charset val="136"/>
      </rPr>
      <t>張麗</t>
    </r>
    <phoneticPr fontId="4" type="noConversion"/>
  </si>
  <si>
    <t>VL</t>
    <phoneticPr fontId="4" type="noConversion"/>
  </si>
  <si>
    <t>Harry Yip</t>
    <phoneticPr fontId="4" type="noConversion"/>
  </si>
  <si>
    <t>Sally</t>
    <phoneticPr fontId="4" type="noConversion"/>
  </si>
  <si>
    <t>Mon, Thu, Fri 1030-1200, Tue, Wed 0900-1030</t>
    <phoneticPr fontId="4" type="noConversion"/>
  </si>
  <si>
    <t>Thursday (0.25) depends</t>
    <phoneticPr fontId="4" type="noConversion"/>
  </si>
  <si>
    <t>NSM</t>
    <phoneticPr fontId="8" type="noConversion"/>
  </si>
  <si>
    <t>Robotic</t>
    <phoneticPr fontId="8" type="noConversion"/>
  </si>
  <si>
    <t>3,5  1445-1545</t>
    <phoneticPr fontId="8" type="noConversion"/>
  </si>
  <si>
    <t>Suspended until further notice</t>
    <phoneticPr fontId="4" type="noConversion"/>
  </si>
  <si>
    <t>Team:</t>
    <phoneticPr fontId="4" type="noConversion"/>
  </si>
  <si>
    <t>Wed:  Aggie (+ 8 beds)</t>
    <phoneticPr fontId="4" type="noConversion"/>
  </si>
  <si>
    <t>Thu / Fri:  Amanda</t>
    <phoneticPr fontId="4" type="noConversion"/>
  </si>
  <si>
    <t>SFM</t>
    <phoneticPr fontId="8" type="noConversion"/>
  </si>
  <si>
    <t>daily 1500-1630</t>
    <phoneticPr fontId="8" type="noConversion"/>
  </si>
  <si>
    <t>X</t>
    <phoneticPr fontId="4" type="noConversion"/>
  </si>
  <si>
    <t>Supporting</t>
    <phoneticPr fontId="4" type="noConversion"/>
  </si>
  <si>
    <t>Mon/Thur/Fri 1030-1200</t>
    <phoneticPr fontId="4" type="noConversion"/>
  </si>
  <si>
    <t>Tues/Wed 0900-1030</t>
    <phoneticPr fontId="4" type="noConversion"/>
  </si>
  <si>
    <t xml:space="preserve"> </t>
    <phoneticPr fontId="4" type="noConversion"/>
  </si>
  <si>
    <t>daily 1030-1200</t>
    <phoneticPr fontId="8" type="noConversion"/>
  </si>
  <si>
    <t>adult</t>
    <phoneticPr fontId="8" type="noConversion"/>
  </si>
  <si>
    <t>robotic</t>
    <phoneticPr fontId="8" type="noConversion"/>
  </si>
  <si>
    <t>9-1030 1,2,4</t>
    <phoneticPr fontId="8" type="noConversion"/>
  </si>
  <si>
    <t>PT 0.25 workload deducted</t>
    <phoneticPr fontId="4" type="noConversion"/>
  </si>
  <si>
    <t>paedi</t>
    <phoneticPr fontId="8" type="noConversion"/>
  </si>
  <si>
    <t>1330-1500  2,3,5</t>
    <phoneticPr fontId="8" type="noConversion"/>
  </si>
  <si>
    <t>Workman</t>
  </si>
  <si>
    <r>
      <rPr>
        <sz val="36"/>
        <rFont val="細明體"/>
        <family val="3"/>
        <charset val="136"/>
      </rPr>
      <t>遠香</t>
    </r>
    <phoneticPr fontId="8" type="noConversion"/>
  </si>
  <si>
    <r>
      <rPr>
        <sz val="36"/>
        <rFont val="細明體"/>
        <family val="3"/>
        <charset val="136"/>
      </rPr>
      <t>金姐</t>
    </r>
    <phoneticPr fontId="8" type="noConversion"/>
  </si>
  <si>
    <r>
      <rPr>
        <sz val="36"/>
        <rFont val="細明體"/>
        <family val="3"/>
        <charset val="136"/>
      </rPr>
      <t>潔萍</t>
    </r>
    <phoneticPr fontId="8" type="noConversion"/>
  </si>
  <si>
    <t>0830-1000 Robotic</t>
    <phoneticPr fontId="4" type="noConversion"/>
  </si>
  <si>
    <t xml:space="preserve">1,4 </t>
    <phoneticPr fontId="4" type="noConversion"/>
  </si>
  <si>
    <t>pending 2,5</t>
    <phoneticPr fontId="4" type="noConversion"/>
  </si>
  <si>
    <r>
      <rPr>
        <sz val="36"/>
        <rFont val="細明體"/>
        <family val="3"/>
        <charset val="136"/>
      </rPr>
      <t>巧兒</t>
    </r>
    <r>
      <rPr>
        <sz val="36"/>
        <rFont val="Times New Roman"/>
        <family val="1"/>
      </rPr>
      <t xml:space="preserve"> </t>
    </r>
    <phoneticPr fontId="8" type="noConversion"/>
  </si>
  <si>
    <t>1330-1500 Andago</t>
    <phoneticPr fontId="4" type="noConversion"/>
  </si>
  <si>
    <t>Andago</t>
    <phoneticPr fontId="4" type="noConversion"/>
  </si>
  <si>
    <t>Total no. of beds</t>
  </si>
  <si>
    <t>Total no. of PT on duty</t>
  </si>
  <si>
    <t>No. of bed per PT</t>
  </si>
  <si>
    <t>No. of PT of individual team</t>
  </si>
  <si>
    <t>No. of beds for relieving</t>
    <phoneticPr fontId="9" type="noConversion"/>
  </si>
  <si>
    <t>No. of beds per team</t>
  </si>
  <si>
    <t>CEU -8 beds</t>
    <phoneticPr fontId="4" type="noConversion"/>
  </si>
  <si>
    <t>Responsible wards of each team</t>
    <phoneticPr fontId="9" type="noConversion"/>
  </si>
  <si>
    <t>R11C, R11B</t>
    <phoneticPr fontId="9" type="noConversion"/>
  </si>
  <si>
    <t>R10A,  2/3 R8A</t>
    <phoneticPr fontId="9" type="noConversion"/>
  </si>
  <si>
    <t>R10C, 2/3 R9C</t>
    <phoneticPr fontId="8" type="noConversion"/>
  </si>
  <si>
    <t>R10B, 2/3 R8C</t>
    <phoneticPr fontId="8" type="noConversion"/>
  </si>
  <si>
    <t>R7C, 1/3 R8A, 1/3 R8C</t>
    <phoneticPr fontId="8" type="noConversion"/>
  </si>
  <si>
    <t>72 (68)</t>
    <phoneticPr fontId="4" type="noConversion"/>
  </si>
  <si>
    <t>R7B, R8B, R9A (R7B -5 until further notice)</t>
    <phoneticPr fontId="4" type="noConversion"/>
  </si>
  <si>
    <t>113 (110)</t>
    <phoneticPr fontId="4" type="noConversion"/>
  </si>
  <si>
    <t>R11A, 1/3 R9C</t>
    <phoneticPr fontId="4" type="noConversion"/>
  </si>
  <si>
    <t>8B, 8C, 9C</t>
    <phoneticPr fontId="4" type="noConversion"/>
  </si>
  <si>
    <t>Total no. of SS on duty</t>
    <phoneticPr fontId="9" type="noConversion"/>
  </si>
  <si>
    <t>Total no.of pt per SS</t>
    <phoneticPr fontId="9" type="noConversion"/>
  </si>
  <si>
    <t>Total no. of pt per team</t>
    <phoneticPr fontId="9" type="noConversion"/>
  </si>
  <si>
    <t>Average SS per team</t>
    <phoneticPr fontId="9" type="noConversion"/>
  </si>
  <si>
    <t>Remarks:</t>
  </si>
  <si>
    <r>
      <t xml:space="preserve">1. Total no. of SS on duty = </t>
    </r>
    <r>
      <rPr>
        <sz val="28"/>
        <color rgb="FFFF0000"/>
        <rFont val="Times New Roman"/>
        <family val="1"/>
      </rPr>
      <t xml:space="preserve">13 </t>
    </r>
    <r>
      <rPr>
        <sz val="28"/>
        <color rgb="FF000000"/>
        <rFont val="Times New Roman"/>
        <family val="1"/>
      </rPr>
      <t xml:space="preserve"> on Mon-Fri (Effective from 12/11/20), at least 1 SS per team over the whole day </t>
    </r>
    <phoneticPr fontId="4" type="noConversion"/>
  </si>
  <si>
    <t>2. Supporting staff for robotic : Mon, Tue &amp; Thur deduct 0.5 in total (0.25 for SOM: 1030-1230; 0.25 for SFM: 1500-1630); Wed &amp; Fri deduct 0.75 in total (0.25 for SOM: 1030-1230; 0.5 for SFM: 1330-1630)</t>
    <phoneticPr fontId="4" type="noConversion"/>
  </si>
  <si>
    <r>
      <t>3. Starting from 11 Oct 2016, PCA will relieve RBIP pm if no PCA of OPD on leave in either am/pm session.</t>
    </r>
    <r>
      <rPr>
        <b/>
        <sz val="28"/>
        <color rgb="FFFF0000"/>
        <rFont val="Times New Roman"/>
        <family val="1"/>
      </rPr>
      <t xml:space="preserve"> (suspend until further notice)</t>
    </r>
    <phoneticPr fontId="4" type="noConversion"/>
  </si>
  <si>
    <t>4. Starting from 8 Oct 2019, DRM (DRO) team deducts therapist manpower subject to weekly operational need; annd deducts SS manpower for 1330-1500 daily</t>
    <phoneticPr fontId="4" type="noConversion"/>
  </si>
  <si>
    <t xml:space="preserve">5. Starting from 14 Oct 2019 DRM (CRP) starts, deduce 0.4 therapist manpower from NSM team (Tue) and GMC team (Mon &amp; Fri), deduce 0.25 therapist manpower from NSM team (Thurs). </t>
    <phoneticPr fontId="8" type="noConversion"/>
  </si>
  <si>
    <t>6. Starting from 14 Oct 2019, DRM (CRP) starts, 0.25 SS manpower would be deducted for timeslot 0900-1030 (tue &amp; wed) or 1030-1200 (Mon, Thur, Fri)</t>
    <phoneticPr fontId="8" type="noConversion"/>
  </si>
  <si>
    <t>7. Starting from 16 Oct 2023, Eric TSE will stay in RBIP (AM) every Monday</t>
  </si>
  <si>
    <t>8. Starting from 3 April 2024, Aggie KWAN will stay in RBIP (AM) every Wednesday for CRP &amp; 5 medical beds.</t>
    <phoneticPr fontId="4" type="noConversion"/>
  </si>
  <si>
    <t xml:space="preserve">9. Starting from Dec 2024, Katie FAN takes 0.5 RBIP duty. </t>
    <phoneticPr fontId="4" type="noConversion"/>
  </si>
  <si>
    <t>10. Starting from Jan 2025, Vincent LAM will stay RBIP every Friday</t>
    <phoneticPr fontId="4" type="noConversion"/>
  </si>
  <si>
    <t>11. Starting from Jan 2025, Manfield CHAN will stay RBIP (AM) every Thursday for neuro service</t>
    <phoneticPr fontId="4" type="noConversion"/>
  </si>
  <si>
    <t>Last Updated by time:</t>
  </si>
  <si>
    <t>SS formula</t>
    <phoneticPr fontId="4" type="noConversion"/>
  </si>
  <si>
    <t>Robotics / Andago</t>
    <phoneticPr fontId="4" type="noConversion"/>
  </si>
  <si>
    <t>J duty</t>
    <phoneticPr fontId="4" type="noConversion"/>
  </si>
  <si>
    <t>SS VL/ SL</t>
    <phoneticPr fontId="4" type="noConversion"/>
  </si>
  <si>
    <t>I team</t>
    <phoneticPr fontId="4" type="noConversion"/>
  </si>
  <si>
    <t>OPD buffer</t>
    <phoneticPr fontId="4" type="noConversion"/>
  </si>
  <si>
    <t>SS deducted</t>
    <phoneticPr fontId="4" type="noConversion"/>
  </si>
  <si>
    <t>GDH buffer</t>
    <phoneticPr fontId="4" type="noConversion"/>
  </si>
  <si>
    <t>0</t>
  </si>
  <si>
    <t>DO NOT DELETE</t>
    <phoneticPr fontId="4" type="noConversion"/>
  </si>
  <si>
    <t>No duty</t>
    <phoneticPr fontId="4" type="noConversion"/>
  </si>
  <si>
    <t>normal robotic</t>
    <phoneticPr fontId="4" type="noConversion"/>
  </si>
  <si>
    <t>robotic w/ SMM</t>
    <phoneticPr fontId="4" type="noConversion"/>
  </si>
  <si>
    <t>since May</t>
    <phoneticPr fontId="4" type="noConversion"/>
  </si>
  <si>
    <t xml:space="preserve">every 1 4 </t>
    <phoneticPr fontId="4" type="noConversion"/>
  </si>
  <si>
    <t>minus 0.25 PCA for Sam Wan OPD case</t>
    <phoneticPr fontId="4" type="noConversion"/>
  </si>
  <si>
    <t>Sam Wan 0.25 at FO team</t>
    <phoneticPr fontId="4" type="noConversion"/>
  </si>
  <si>
    <t>Wednesday minus 0.25 for robotic pca (no robotic 0900-1030)</t>
    <phoneticPr fontId="4" type="noConversion"/>
  </si>
  <si>
    <t>0.5 AM</t>
    <phoneticPr fontId="4" type="noConversion"/>
  </si>
  <si>
    <t xml:space="preserve">君 </t>
    <phoneticPr fontId="4" type="noConversion"/>
  </si>
  <si>
    <t xml:space="preserve">明 </t>
    <phoneticPr fontId="4" type="noConversion"/>
  </si>
  <si>
    <t>0900-1030, PM</t>
    <phoneticPr fontId="4" type="noConversion"/>
  </si>
  <si>
    <t>0.5AM</t>
    <phoneticPr fontId="4" type="noConversion"/>
  </si>
  <si>
    <t>光劭</t>
  </si>
  <si>
    <t>0900-1030, 1330-1500</t>
    <phoneticPr fontId="4" type="noConversion"/>
  </si>
  <si>
    <t>updated by Tim on 31/7/2025</t>
    <phoneticPr fontId="8" type="noConversion"/>
  </si>
  <si>
    <t>Jackie</t>
    <phoneticPr fontId="4" type="noConversion"/>
  </si>
  <si>
    <t>Mon / Tue:: Becky Law</t>
    <phoneticPr fontId="4" type="noConversion"/>
  </si>
  <si>
    <t>Bonnie</t>
    <phoneticPr fontId="4" type="noConversion"/>
  </si>
  <si>
    <t xml:space="preserve">高玲 </t>
    <phoneticPr fontId="4" type="noConversion"/>
  </si>
  <si>
    <t xml:space="preserve">友好 </t>
    <phoneticPr fontId="4" type="noConversion"/>
  </si>
  <si>
    <t>0900-1630</t>
    <phoneticPr fontId="4" type="noConversion"/>
  </si>
  <si>
    <t xml:space="preserve">友好 </t>
  </si>
  <si>
    <t>AM, 1330-1500</t>
    <phoneticPr fontId="4" type="noConversion"/>
  </si>
  <si>
    <t>麗雅</t>
  </si>
  <si>
    <t>浩然</t>
  </si>
  <si>
    <t xml:space="preserve">婉儀  </t>
    <phoneticPr fontId="4" type="noConversion"/>
  </si>
  <si>
    <t>宛諭 VL</t>
    <phoneticPr fontId="4" type="noConversion"/>
  </si>
  <si>
    <t>1500-1630 Robotic</t>
    <phoneticPr fontId="4" type="noConversion"/>
  </si>
  <si>
    <t xml:space="preserve"> Katie 0.5AM</t>
    <phoneticPr fontId="4" type="noConversion"/>
  </si>
  <si>
    <t xml:space="preserve">君   </t>
    <phoneticPr fontId="4" type="noConversion"/>
  </si>
  <si>
    <t>浩然 AM VL</t>
    <phoneticPr fontId="4" type="noConversion"/>
  </si>
  <si>
    <t xml:space="preserve">宛諭 </t>
    <phoneticPr fontId="4" type="noConversion"/>
  </si>
  <si>
    <t>Whole Day</t>
    <phoneticPr fontId="4" type="noConversion"/>
  </si>
  <si>
    <r>
      <t xml:space="preserve">12-2pm </t>
    </r>
    <r>
      <rPr>
        <sz val="48"/>
        <color rgb="FF000000"/>
        <rFont val="細明體"/>
        <family val="3"/>
        <charset val="136"/>
      </rPr>
      <t>中華狀元擂台戰</t>
    </r>
    <phoneticPr fontId="4" type="noConversion"/>
  </si>
  <si>
    <t>0830-1300 CMC BLS</t>
    <phoneticPr fontId="4" type="noConversion"/>
  </si>
  <si>
    <t>Amanda</t>
  </si>
  <si>
    <t>君   VL</t>
  </si>
  <si>
    <t xml:space="preserve">浩然 </t>
  </si>
  <si>
    <t xml:space="preserve">宛諭 </t>
  </si>
  <si>
    <t>1330-1500</t>
  </si>
  <si>
    <t>PM Robotic</t>
  </si>
  <si>
    <t xml:space="preserve"> Katie 9:30am CMC meeting</t>
    <phoneticPr fontId="4" type="noConversion"/>
  </si>
  <si>
    <t>高玲 3:45 PM FU</t>
    <phoneticPr fontId="4" type="noConversion"/>
  </si>
  <si>
    <t>AM, 1330-1545</t>
    <phoneticPr fontId="4" type="noConversion"/>
  </si>
  <si>
    <t>1030-1200, PM</t>
    <phoneticPr fontId="4" type="noConversion"/>
  </si>
  <si>
    <t>少華 1630 TIL</t>
    <phoneticPr fontId="4" type="noConversion"/>
  </si>
  <si>
    <t>秋 9am acc FU</t>
    <phoneticPr fontId="4" type="noConversion"/>
  </si>
  <si>
    <t>14/8/25 0.25cppc 21/8/25 0.25 gmc 28/8/25 0.25 cppc</t>
    <phoneticPr fontId="4" type="noConversion"/>
  </si>
  <si>
    <t>0.5am</t>
    <phoneticPr fontId="4" type="noConversion"/>
  </si>
  <si>
    <t>0.25pm</t>
    <phoneticPr fontId="4" type="noConversion"/>
  </si>
  <si>
    <t>Vincent LAM VL Katie 0.75</t>
    <phoneticPr fontId="4" type="noConversion"/>
  </si>
  <si>
    <t>高玲 4PM TST FU</t>
    <phoneticPr fontId="4" type="noConversion"/>
  </si>
  <si>
    <t>光劭 PM TIL</t>
    <phoneticPr fontId="4" type="noConversion"/>
  </si>
  <si>
    <t>高玲 (0.65)</t>
    <phoneticPr fontId="4" type="noConversion"/>
  </si>
  <si>
    <t>AM, 1330-1430</t>
    <phoneticPr fontId="4" type="noConversion"/>
  </si>
  <si>
    <t xml:space="preserve">少華 </t>
    <phoneticPr fontId="4" type="noConversion"/>
  </si>
  <si>
    <t xml:space="preserve">秋 </t>
    <phoneticPr fontId="4" type="noConversion"/>
  </si>
  <si>
    <t>TIL</t>
    <phoneticPr fontId="4" type="noConversion"/>
  </si>
  <si>
    <t>PM ICF seminar</t>
    <phoneticPr fontId="4" type="noConversion"/>
  </si>
  <si>
    <t>君   VL</t>
    <phoneticPr fontId="4" type="noConversion"/>
  </si>
  <si>
    <t xml:space="preserve">Tiffany </t>
    <phoneticPr fontId="4" type="noConversion"/>
  </si>
  <si>
    <t>SL</t>
    <phoneticPr fontId="4" type="noConversion"/>
  </si>
  <si>
    <t>Sally Yip</t>
    <phoneticPr fontId="4" type="noConversion"/>
  </si>
  <si>
    <t>(CEU-5)</t>
    <phoneticPr fontId="4" type="noConversion"/>
  </si>
  <si>
    <t xml:space="preserve">Dewey </t>
    <phoneticPr fontId="4" type="noConversion"/>
  </si>
  <si>
    <t>Katie VL</t>
    <phoneticPr fontId="4" type="noConversion"/>
  </si>
  <si>
    <t>浩然 0900-1030 no robotic</t>
    <phoneticPr fontId="4" type="noConversion"/>
  </si>
  <si>
    <t>1030-1200, 1500-1630</t>
    <phoneticPr fontId="4" type="noConversion"/>
  </si>
  <si>
    <t xml:space="preserve">浩然 </t>
    <phoneticPr fontId="4" type="noConversion"/>
  </si>
  <si>
    <t>4pm NTWC Physiotherapy Research and Training Committee meeting</t>
    <phoneticPr fontId="4" type="noConversion"/>
  </si>
  <si>
    <t>SFM</t>
    <phoneticPr fontId="4" type="noConversion"/>
  </si>
  <si>
    <t>10 cases</t>
    <phoneticPr fontId="4" type="noConversion"/>
  </si>
  <si>
    <t>CPPC</t>
    <phoneticPr fontId="4" type="noConversion"/>
  </si>
  <si>
    <t>14cases</t>
    <phoneticPr fontId="4" type="noConversion"/>
  </si>
  <si>
    <t>MC</t>
    <phoneticPr fontId="4" type="noConversion"/>
  </si>
  <si>
    <t>4 case</t>
    <phoneticPr fontId="4" type="noConversion"/>
  </si>
  <si>
    <t xml:space="preserve">DRO </t>
    <phoneticPr fontId="4" type="noConversion"/>
  </si>
  <si>
    <t>7 cases</t>
    <phoneticPr fontId="4" type="noConversion"/>
  </si>
  <si>
    <t>SMM</t>
    <phoneticPr fontId="4" type="noConversion"/>
  </si>
  <si>
    <t>5 cases</t>
    <phoneticPr fontId="4" type="noConversion"/>
  </si>
  <si>
    <t>0900-1030, 1500-1630</t>
    <phoneticPr fontId="4" type="noConversion"/>
  </si>
  <si>
    <t xml:space="preserve">麗雅 </t>
    <phoneticPr fontId="4" type="noConversion"/>
  </si>
  <si>
    <t xml:space="preserve">光劭 </t>
    <phoneticPr fontId="4" type="noConversion"/>
  </si>
  <si>
    <t>14/8/25 0.25cppc 21/8/25 0.4 gmc 28/8/25 0.25 cppc</t>
    <phoneticPr fontId="4" type="noConversion"/>
  </si>
  <si>
    <t xml:space="preserve">Dewey </t>
  </si>
  <si>
    <t xml:space="preserve">淑貞 </t>
  </si>
  <si>
    <t>Amanada</t>
    <phoneticPr fontId="4" type="noConversion"/>
  </si>
  <si>
    <t>Eric</t>
    <phoneticPr fontId="4" type="noConversion"/>
  </si>
  <si>
    <t>0.5 am</t>
    <phoneticPr fontId="4" type="noConversion"/>
  </si>
  <si>
    <t>Katie 0.5AM                                 Eric 0.5AM</t>
    <phoneticPr fontId="4" type="noConversion"/>
  </si>
  <si>
    <t>友好 8:45am CT</t>
    <phoneticPr fontId="4" type="noConversion"/>
  </si>
  <si>
    <t>少華 FU eye clinic 0930</t>
    <phoneticPr fontId="4" type="noConversion"/>
  </si>
  <si>
    <t>秋 VL</t>
    <phoneticPr fontId="4" type="noConversion"/>
  </si>
  <si>
    <t xml:space="preserve"> 3:30-5 ACC Seminar </t>
    <phoneticPr fontId="4" type="noConversion"/>
  </si>
  <si>
    <t>10ceu</t>
    <phoneticPr fontId="4" type="noConversion"/>
  </si>
  <si>
    <t>Katie 0.75</t>
    <phoneticPr fontId="4" type="noConversion"/>
  </si>
  <si>
    <t>Aggie</t>
    <phoneticPr fontId="4" type="noConversion"/>
  </si>
  <si>
    <t>0.3(8bed)</t>
  </si>
  <si>
    <t xml:space="preserve">         0.25PM</t>
    <phoneticPr fontId="4" type="noConversion"/>
  </si>
  <si>
    <t>高玲 10:45 ACC FU</t>
    <phoneticPr fontId="4" type="noConversion"/>
  </si>
  <si>
    <t>光劭 SL</t>
    <phoneticPr fontId="4" type="noConversion"/>
  </si>
  <si>
    <t>1030-1200  ,1330-1200</t>
    <phoneticPr fontId="4" type="noConversion"/>
  </si>
  <si>
    <t>AM,1500-1630</t>
  </si>
  <si>
    <t>10 case</t>
    <phoneticPr fontId="4" type="noConversion"/>
  </si>
  <si>
    <t>17 case</t>
  </si>
  <si>
    <t>3case</t>
    <phoneticPr fontId="4" type="noConversion"/>
  </si>
  <si>
    <t>7 case</t>
    <phoneticPr fontId="4" type="noConversion"/>
  </si>
  <si>
    <t>7 case</t>
  </si>
  <si>
    <t>1400-1500 PRCC Respiratory Nursing Clinical placement</t>
    <phoneticPr fontId="4" type="noConversion"/>
  </si>
  <si>
    <t>0.25(8bed)</t>
    <phoneticPr fontId="4" type="noConversion"/>
  </si>
  <si>
    <t>11case</t>
    <phoneticPr fontId="4" type="noConversion"/>
  </si>
  <si>
    <t>12case</t>
    <phoneticPr fontId="4" type="noConversion"/>
  </si>
  <si>
    <t>16case</t>
    <phoneticPr fontId="4" type="noConversion"/>
  </si>
  <si>
    <t>2case</t>
    <phoneticPr fontId="4" type="noConversion"/>
  </si>
  <si>
    <t>5case</t>
    <phoneticPr fontId="4" type="noConversion"/>
  </si>
  <si>
    <t>AM, 1330-1530</t>
    <phoneticPr fontId="4" type="noConversion"/>
  </si>
  <si>
    <t>Harry Yip</t>
  </si>
  <si>
    <t>Cherry</t>
  </si>
  <si>
    <t>Olgas</t>
  </si>
  <si>
    <t>Anny</t>
  </si>
  <si>
    <t>Sally Yip</t>
  </si>
  <si>
    <t>Harrison</t>
  </si>
  <si>
    <t>高玲</t>
  </si>
  <si>
    <t>Harry Wed 0.25am + 0.25pm + neuro gym
Fri 0.25pm + neuro gym</t>
  </si>
  <si>
    <t>Eric Mon 0.5 AM
Aggie Wed CRP_8 beds</t>
  </si>
  <si>
    <t xml:space="preserve">婉儀 </t>
  </si>
  <si>
    <r>
      <rPr>
        <sz val="48"/>
        <color rgb="FFFF0000"/>
        <rFont val="微軟正黑體"/>
        <family val="2"/>
        <charset val="136"/>
      </rPr>
      <t>浩然</t>
    </r>
    <r>
      <rPr>
        <sz val="48"/>
        <color rgb="FFFF0000"/>
        <rFont val="Malgun Gothic Semilight"/>
        <family val="2"/>
        <charset val="136"/>
      </rPr>
      <t xml:space="preserve"> </t>
    </r>
    <phoneticPr fontId="4" type="noConversion"/>
  </si>
  <si>
    <t>Cherrie</t>
    <phoneticPr fontId="4" type="noConversion"/>
  </si>
  <si>
    <t xml:space="preserve">CPPC </t>
    <phoneticPr fontId="4" type="noConversion"/>
  </si>
  <si>
    <t>NSM</t>
    <phoneticPr fontId="4" type="noConversion"/>
  </si>
  <si>
    <t xml:space="preserve">R8B, 2/3 R9A </t>
    <phoneticPr fontId="4" type="noConversion"/>
  </si>
  <si>
    <t>R7B, 1/3 R8A, 1/3 R8C (R7B -5 until further notice)</t>
    <phoneticPr fontId="4" type="noConversion"/>
  </si>
  <si>
    <t>R7C, 1/3 R9A</t>
    <phoneticPr fontId="8" type="noConversion"/>
  </si>
  <si>
    <t>Katie AM  +/- 0.25 PM, Vincent Lam every Fri 0.75 (preferably GMC/CPPC)</t>
  </si>
  <si>
    <t>Vivian</t>
    <phoneticPr fontId="4" type="noConversion"/>
  </si>
  <si>
    <r>
      <rPr>
        <sz val="36"/>
        <rFont val="微軟正黑體"/>
        <family val="2"/>
        <charset val="136"/>
      </rPr>
      <t>高玲</t>
    </r>
    <r>
      <rPr>
        <sz val="36"/>
        <rFont val="Times New Roman"/>
        <family val="1"/>
      </rPr>
      <t xml:space="preserve"> </t>
    </r>
    <phoneticPr fontId="4" type="noConversion"/>
  </si>
  <si>
    <r>
      <rPr>
        <sz val="36"/>
        <rFont val="微軟正黑體"/>
        <family val="2"/>
        <charset val="136"/>
      </rPr>
      <t>明</t>
    </r>
    <r>
      <rPr>
        <sz val="36"/>
        <rFont val="Times New Roman"/>
        <family val="1"/>
      </rPr>
      <t xml:space="preserve"> </t>
    </r>
    <phoneticPr fontId="4" type="noConversion"/>
  </si>
  <si>
    <r>
      <rPr>
        <sz val="36"/>
        <rFont val="微軟正黑體"/>
        <family val="2"/>
        <charset val="136"/>
      </rPr>
      <t>少華</t>
    </r>
    <phoneticPr fontId="4" type="noConversion"/>
  </si>
  <si>
    <r>
      <rPr>
        <sz val="36"/>
        <rFont val="微軟正黑體"/>
        <family val="2"/>
        <charset val="136"/>
      </rPr>
      <t>淑貞</t>
    </r>
    <r>
      <rPr>
        <sz val="36"/>
        <rFont val="Times New Roman"/>
        <family val="1"/>
      </rPr>
      <t xml:space="preserve"> </t>
    </r>
    <phoneticPr fontId="4" type="noConversion"/>
  </si>
  <si>
    <r>
      <rPr>
        <sz val="36"/>
        <rFont val="微軟正黑體"/>
        <family val="2"/>
        <charset val="136"/>
      </rPr>
      <t>光劭</t>
    </r>
    <r>
      <rPr>
        <sz val="36"/>
        <rFont val="Times New Roman"/>
        <family val="1"/>
      </rPr>
      <t xml:space="preserve"> </t>
    </r>
    <phoneticPr fontId="4" type="noConversion"/>
  </si>
  <si>
    <r>
      <rPr>
        <sz val="36"/>
        <rFont val="微軟正黑體"/>
        <family val="2"/>
        <charset val="136"/>
      </rPr>
      <t>張麗</t>
    </r>
    <r>
      <rPr>
        <sz val="36"/>
        <rFont val="Times New Roman"/>
        <family val="1"/>
      </rPr>
      <t xml:space="preserve"> </t>
    </r>
    <phoneticPr fontId="4" type="noConversion"/>
  </si>
  <si>
    <r>
      <rPr>
        <sz val="36"/>
        <rFont val="微軟正黑體"/>
        <family val="2"/>
        <charset val="136"/>
      </rPr>
      <t>君</t>
    </r>
    <r>
      <rPr>
        <sz val="36"/>
        <rFont val="Times New Roman"/>
        <family val="1"/>
      </rPr>
      <t xml:space="preserve"> </t>
    </r>
    <phoneticPr fontId="4" type="noConversion"/>
  </si>
  <si>
    <r>
      <rPr>
        <sz val="48"/>
        <color rgb="FFFF0000"/>
        <rFont val="微軟正黑體"/>
        <family val="2"/>
        <charset val="136"/>
      </rPr>
      <t>淑貞</t>
    </r>
    <r>
      <rPr>
        <sz val="48"/>
        <color rgb="FFFF0000"/>
        <rFont val="Times New Roman"/>
        <family val="1"/>
      </rPr>
      <t xml:space="preserve"> </t>
    </r>
    <phoneticPr fontId="4" type="noConversion"/>
  </si>
  <si>
    <t>5. Starting from 14 Oct 2019 DRM (CRP) starts, deduce 0.4 therapist manpower from GMC team (Tue) and CPPC team (Mon &amp; Fri), deduce 0.25/0.4 therapist manpower from GMC team (Thurs)</t>
  </si>
  <si>
    <t>8. Starting from 3 April 2024, Aggie KWAN will stay in RBIP (AM) every Wednesday for CRP &amp; 8 medical beds.</t>
  </si>
  <si>
    <r>
      <rPr>
        <sz val="36"/>
        <rFont val="微軟正黑體"/>
        <family val="2"/>
        <charset val="136"/>
      </rPr>
      <t>桂花</t>
    </r>
    <r>
      <rPr>
        <sz val="36"/>
        <rFont val="Times New Roman"/>
        <family val="1"/>
      </rPr>
      <t xml:space="preserve"> </t>
    </r>
    <phoneticPr fontId="4" type="noConversion"/>
  </si>
  <si>
    <t xml:space="preserve">桂花 </t>
    <phoneticPr fontId="4" type="noConversion"/>
  </si>
  <si>
    <t>updated by Trinity on 31/10/2025</t>
    <phoneticPr fontId="4" type="noConversion"/>
  </si>
  <si>
    <t>CIHA helper</t>
  </si>
  <si>
    <t>CIHA helper</t>
    <phoneticPr fontId="4" type="noConversion"/>
  </si>
  <si>
    <r>
      <rPr>
        <sz val="36"/>
        <rFont val="微軟正黑體"/>
        <family val="2"/>
        <charset val="136"/>
      </rPr>
      <t>婉儀</t>
    </r>
    <r>
      <rPr>
        <sz val="36"/>
        <rFont val="Times New Roman"/>
        <family val="1"/>
      </rPr>
      <t xml:space="preserve"> </t>
    </r>
    <phoneticPr fontId="4" type="noConversion"/>
  </si>
  <si>
    <t xml:space="preserve">秋  VL </t>
    <phoneticPr fontId="4" type="noConversion"/>
  </si>
  <si>
    <r>
      <rPr>
        <sz val="36"/>
        <rFont val="微軟正黑體"/>
        <family val="2"/>
        <charset val="136"/>
      </rPr>
      <t>麗雅</t>
    </r>
    <r>
      <rPr>
        <sz val="36"/>
        <rFont val="Times New Roman"/>
        <family val="1"/>
      </rPr>
      <t xml:space="preserve">  9:45AM ACC FU</t>
    </r>
    <phoneticPr fontId="4" type="noConversion"/>
  </si>
  <si>
    <r>
      <rPr>
        <sz val="36"/>
        <rFont val="微軟正黑體"/>
        <family val="2"/>
        <charset val="136"/>
      </rPr>
      <t>宛諭</t>
    </r>
    <r>
      <rPr>
        <sz val="36"/>
        <rFont val="Times New Roman"/>
        <family val="1"/>
      </rPr>
      <t xml:space="preserve"> 14:00-18:00 </t>
    </r>
    <r>
      <rPr>
        <sz val="36"/>
        <rFont val="微軟正黑體"/>
        <family val="1"/>
        <charset val="136"/>
      </rPr>
      <t>溝通工作坊</t>
    </r>
    <phoneticPr fontId="4" type="noConversion"/>
  </si>
  <si>
    <r>
      <rPr>
        <sz val="36"/>
        <rFont val="微軟正黑體"/>
        <family val="2"/>
        <charset val="136"/>
      </rPr>
      <t>浩然</t>
    </r>
    <r>
      <rPr>
        <sz val="36"/>
        <rFont val="Times New Roman"/>
        <family val="2"/>
      </rPr>
      <t>1:30-3:00</t>
    </r>
    <r>
      <rPr>
        <sz val="36"/>
        <rFont val="Times New Roman"/>
        <family val="1"/>
      </rPr>
      <t xml:space="preserve"> </t>
    </r>
    <phoneticPr fontId="4" type="noConversion"/>
  </si>
  <si>
    <t>Tue / Thu:: Becky Law</t>
    <phoneticPr fontId="4" type="noConversion"/>
  </si>
  <si>
    <t>Mon / Fri:  Amanda</t>
    <phoneticPr fontId="4" type="noConversion"/>
  </si>
  <si>
    <r>
      <rPr>
        <sz val="48"/>
        <color theme="1"/>
        <rFont val="微軟正黑體"/>
        <family val="2"/>
        <charset val="136"/>
      </rPr>
      <t>光劭</t>
    </r>
    <r>
      <rPr>
        <sz val="48"/>
        <color theme="1"/>
        <rFont val="Malgun Gothic Semilight"/>
        <family val="2"/>
        <charset val="136"/>
      </rPr>
      <t xml:space="preserve"> </t>
    </r>
    <phoneticPr fontId="4" type="noConversion"/>
  </si>
  <si>
    <t>宛諭</t>
    <phoneticPr fontId="4" type="noConversion"/>
  </si>
  <si>
    <t xml:space="preserve">AM </t>
    <phoneticPr fontId="4" type="noConversion"/>
  </si>
  <si>
    <r>
      <rPr>
        <sz val="48"/>
        <rFont val="微軟正黑體"/>
        <family val="2"/>
        <charset val="136"/>
      </rPr>
      <t>淑貞</t>
    </r>
    <r>
      <rPr>
        <sz val="48"/>
        <rFont val="Times New Roman"/>
        <family val="2"/>
        <charset val="136"/>
      </rPr>
      <t xml:space="preserve"> </t>
    </r>
    <phoneticPr fontId="4" type="noConversion"/>
  </si>
  <si>
    <r>
      <rPr>
        <sz val="48"/>
        <rFont val="微軟正黑體"/>
        <family val="2"/>
        <charset val="136"/>
      </rPr>
      <t>麗雅</t>
    </r>
    <r>
      <rPr>
        <sz val="48"/>
        <rFont val="Times New Roman"/>
        <family val="2"/>
        <charset val="136"/>
      </rPr>
      <t xml:space="preserve">  </t>
    </r>
    <phoneticPr fontId="4" type="noConversion"/>
  </si>
  <si>
    <r>
      <rPr>
        <sz val="48"/>
        <rFont val="微軟正黑體"/>
        <family val="2"/>
        <charset val="136"/>
      </rPr>
      <t>張麗</t>
    </r>
    <r>
      <rPr>
        <sz val="48"/>
        <rFont val="Malgun Gothic Semilight"/>
        <family val="2"/>
        <charset val="136"/>
      </rPr>
      <t xml:space="preserve"> </t>
    </r>
    <phoneticPr fontId="4" type="noConversion"/>
  </si>
  <si>
    <r>
      <t>淑貞</t>
    </r>
    <r>
      <rPr>
        <sz val="48"/>
        <rFont val="Times New Roman"/>
        <family val="2"/>
        <charset val="136"/>
      </rPr>
      <t xml:space="preserve"> </t>
    </r>
    <phoneticPr fontId="4" type="noConversion"/>
  </si>
  <si>
    <r>
      <rPr>
        <sz val="48"/>
        <color theme="1"/>
        <rFont val="微軟正黑體"/>
        <family val="1"/>
        <charset val="136"/>
      </rPr>
      <t>君</t>
    </r>
    <r>
      <rPr>
        <sz val="48"/>
        <color theme="1"/>
        <rFont val="Times New Roman"/>
        <family val="1"/>
      </rPr>
      <t xml:space="preserve"> </t>
    </r>
    <phoneticPr fontId="4" type="noConversion"/>
  </si>
  <si>
    <r>
      <rPr>
        <sz val="48"/>
        <rFont val="微軟正黑體"/>
        <family val="2"/>
        <charset val="136"/>
      </rPr>
      <t>君</t>
    </r>
    <r>
      <rPr>
        <sz val="48"/>
        <rFont val="Times New Roman"/>
        <family val="2"/>
        <charset val="136"/>
      </rPr>
      <t xml:space="preserve"> </t>
    </r>
    <phoneticPr fontId="4" type="noConversion"/>
  </si>
  <si>
    <t>0.25AM, 1330-1500</t>
    <phoneticPr fontId="4" type="noConversion"/>
  </si>
  <si>
    <t>updated by Trinity on 3/11/2025</t>
    <phoneticPr fontId="4" type="noConversion"/>
  </si>
  <si>
    <t>DRO (R11A)</t>
    <phoneticPr fontId="4" type="noConversion"/>
  </si>
  <si>
    <t>6, 8, 9, 10, 12</t>
    <phoneticPr fontId="4" type="noConversion"/>
  </si>
  <si>
    <t>13, 21, 22, 23, 25, 26</t>
    <phoneticPr fontId="4" type="noConversion"/>
  </si>
  <si>
    <t xml:space="preserve">28, 29, 30, 31, 32, 33, 34, 35, </t>
    <phoneticPr fontId="4" type="noConversion"/>
  </si>
  <si>
    <t>41, 43, 45, 46</t>
    <phoneticPr fontId="4" type="noConversion"/>
  </si>
  <si>
    <t>36, 38, 40</t>
    <phoneticPr fontId="4" type="noConversion"/>
  </si>
  <si>
    <t>(R9C)1,2,3,4,31,33,35,36,37
(R10C) 10,12,13,14,17,18,20,21,22,23,24,51</t>
    <phoneticPr fontId="4" type="noConversion"/>
  </si>
  <si>
    <r>
      <rPr>
        <sz val="36"/>
        <rFont val="微軟正黑體"/>
        <family val="2"/>
        <charset val="136"/>
      </rPr>
      <t>宛諭</t>
    </r>
    <r>
      <rPr>
        <sz val="36"/>
        <rFont val="Times New Roman"/>
        <family val="1"/>
      </rPr>
      <t xml:space="preserve"> </t>
    </r>
    <phoneticPr fontId="4" type="noConversion"/>
  </si>
  <si>
    <r>
      <rPr>
        <sz val="36"/>
        <rFont val="微軟正黑體"/>
        <family val="2"/>
        <charset val="136"/>
      </rPr>
      <t>麗雅</t>
    </r>
    <r>
      <rPr>
        <sz val="36"/>
        <rFont val="Times New Roman"/>
        <family val="1"/>
      </rPr>
      <t xml:space="preserve"> </t>
    </r>
    <phoneticPr fontId="4" type="noConversion"/>
  </si>
  <si>
    <r>
      <rPr>
        <sz val="36"/>
        <rFont val="微軟正黑體"/>
        <family val="2"/>
        <charset val="136"/>
      </rPr>
      <t>浩然</t>
    </r>
    <r>
      <rPr>
        <sz val="36"/>
        <rFont val="Times New Roman"/>
        <family val="1"/>
      </rPr>
      <t xml:space="preserve"> 0900-1030, 1330-1500</t>
    </r>
    <phoneticPr fontId="4" type="noConversion"/>
  </si>
  <si>
    <r>
      <rPr>
        <sz val="48"/>
        <rFont val="微軟正黑體"/>
        <family val="2"/>
        <charset val="136"/>
      </rPr>
      <t>淑貞</t>
    </r>
    <r>
      <rPr>
        <sz val="48"/>
        <rFont val="Times New Roman"/>
        <family val="1"/>
      </rPr>
      <t xml:space="preserve"> </t>
    </r>
    <phoneticPr fontId="4" type="noConversion"/>
  </si>
  <si>
    <t xml:space="preserve">1030-1200 </t>
    <phoneticPr fontId="4" type="noConversion"/>
  </si>
  <si>
    <t>君</t>
    <phoneticPr fontId="4" type="noConversion"/>
  </si>
  <si>
    <t>1030-1200</t>
    <phoneticPr fontId="4" type="noConversion"/>
  </si>
  <si>
    <t>友好</t>
    <phoneticPr fontId="4" type="noConversion"/>
  </si>
  <si>
    <t>AM, 1500-1630</t>
    <phoneticPr fontId="4" type="noConversion"/>
  </si>
  <si>
    <t>1330-1500</t>
    <phoneticPr fontId="4" type="noConversion"/>
  </si>
  <si>
    <t>浩然</t>
    <phoneticPr fontId="4" type="noConversion"/>
  </si>
  <si>
    <r>
      <rPr>
        <sz val="48"/>
        <rFont val="細明體"/>
        <family val="3"/>
        <charset val="136"/>
      </rPr>
      <t>麗雅</t>
    </r>
    <r>
      <rPr>
        <sz val="48"/>
        <rFont val="Times New Roman"/>
        <family val="1"/>
      </rPr>
      <t xml:space="preserve"> </t>
    </r>
    <phoneticPr fontId="4" type="noConversion"/>
  </si>
  <si>
    <t>0900-1030, 1330-1500</t>
    <phoneticPr fontId="4" type="noConversion"/>
  </si>
  <si>
    <r>
      <rPr>
        <sz val="48"/>
        <color rgb="FFFF0000"/>
        <rFont val="微軟正黑體"/>
        <family val="2"/>
        <charset val="136"/>
      </rPr>
      <t>淑貞</t>
    </r>
    <r>
      <rPr>
        <sz val="48"/>
        <color rgb="FFFF0000"/>
        <rFont val="Times New Roman"/>
        <family val="2"/>
        <charset val="136"/>
      </rPr>
      <t xml:space="preserve"> </t>
    </r>
    <phoneticPr fontId="4" type="noConversion"/>
  </si>
  <si>
    <r>
      <t>淑貞</t>
    </r>
    <r>
      <rPr>
        <sz val="28"/>
        <color theme="1"/>
        <rFont val="Times New Roman"/>
        <family val="1"/>
      </rPr>
      <t xml:space="preserve"> </t>
    </r>
    <phoneticPr fontId="4" type="noConversion"/>
  </si>
  <si>
    <t xml:space="preserve">0900-1030,  PM </t>
    <phoneticPr fontId="4" type="noConversion"/>
  </si>
  <si>
    <t>SFM (R9C)</t>
    <phoneticPr fontId="4" type="noConversion"/>
  </si>
  <si>
    <t>SFM (R10C)</t>
    <phoneticPr fontId="4" type="noConversion"/>
  </si>
  <si>
    <t xml:space="preserve"> 1, 2, 4, 31 , 33, 35, 36, 37
</t>
    <phoneticPr fontId="4" type="noConversion"/>
  </si>
  <si>
    <t>12, 14, 17</t>
    <phoneticPr fontId="4" type="noConversion"/>
  </si>
  <si>
    <t>9, 13, 16, 21,22 ,23, 24, 40, 41, 45, 51</t>
    <phoneticPr fontId="4" type="noConversion"/>
  </si>
  <si>
    <t xml:space="preserve">5, 6, 8 </t>
    <phoneticPr fontId="4" type="noConversion"/>
  </si>
  <si>
    <t>21, 22 ,23, 25, 26, 28, 29, 30, 31, 32, 33, 34, 35, 36</t>
    <phoneticPr fontId="4" type="noConversion"/>
  </si>
  <si>
    <t>updated by Trinity on 4/11/2025</t>
    <phoneticPr fontId="4" type="noConversion"/>
  </si>
  <si>
    <r>
      <rPr>
        <sz val="36"/>
        <rFont val="微軟正黑體"/>
        <family val="2"/>
        <charset val="136"/>
      </rPr>
      <t>麗雅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10AM ACC FU</t>
    </r>
    <phoneticPr fontId="4" type="noConversion"/>
  </si>
  <si>
    <r>
      <rPr>
        <sz val="36"/>
        <rFont val="微軟正黑體"/>
        <family val="2"/>
        <charset val="136"/>
      </rPr>
      <t>浩然</t>
    </r>
    <r>
      <rPr>
        <sz val="36"/>
        <rFont val="Times New Roman"/>
        <family val="1"/>
      </rPr>
      <t xml:space="preserve">  1330-1500</t>
    </r>
    <phoneticPr fontId="4" type="noConversion"/>
  </si>
  <si>
    <t>淑貞</t>
    <phoneticPr fontId="4" type="noConversion"/>
  </si>
  <si>
    <r>
      <rPr>
        <sz val="48"/>
        <rFont val="微軟正黑體"/>
        <family val="2"/>
        <charset val="136"/>
      </rPr>
      <t>婉儀</t>
    </r>
    <r>
      <rPr>
        <sz val="48"/>
        <rFont val="Malgun Gothic Semilight"/>
        <family val="2"/>
        <charset val="136"/>
      </rPr>
      <t xml:space="preserve"> </t>
    </r>
    <phoneticPr fontId="4" type="noConversion"/>
  </si>
  <si>
    <t>1030-1200, 1330-1500</t>
    <phoneticPr fontId="4" type="noConversion"/>
  </si>
  <si>
    <t>Ivan</t>
  </si>
  <si>
    <t>CIHA helper, PM ASP</t>
  </si>
  <si>
    <t>Wilson</t>
  </si>
  <si>
    <t>PM ASP</t>
  </si>
  <si>
    <r>
      <rPr>
        <sz val="36"/>
        <rFont val="微軟正黑體"/>
        <family val="2"/>
        <charset val="136"/>
      </rPr>
      <t>婉儀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3:30PM PT FU</t>
    </r>
  </si>
  <si>
    <t>Thursday</t>
  </si>
  <si>
    <t>AM (0.25), PM</t>
    <phoneticPr fontId="4" type="noConversion"/>
  </si>
  <si>
    <t>6, 8, 9, 10, 12, 13, 14, 21, 22, 23, 25, 26, 28, 29, 30, 32, 33, 36, 38</t>
    <phoneticPr fontId="4" type="noConversion"/>
  </si>
  <si>
    <t>DRO (R9C)</t>
    <phoneticPr fontId="4" type="noConversion"/>
  </si>
  <si>
    <t>18, 19, 25, 26, 27, 28, 29, 30</t>
    <phoneticPr fontId="4" type="noConversion"/>
  </si>
  <si>
    <t>1, 4</t>
    <phoneticPr fontId="4" type="noConversion"/>
  </si>
  <si>
    <t>6, 31, 33 ,35</t>
    <phoneticPr fontId="4" type="noConversion"/>
  </si>
  <si>
    <t>36, 37, 41</t>
    <phoneticPr fontId="4" type="noConversion"/>
  </si>
  <si>
    <t>9, 12, 13, 14 ,17, 21, 22 ,23, 24, 40, 41, 45 51</t>
    <phoneticPr fontId="4" type="noConversion"/>
  </si>
  <si>
    <r>
      <rPr>
        <sz val="36"/>
        <rFont val="微軟正黑體"/>
        <family val="2"/>
        <charset val="136"/>
      </rPr>
      <t>浩然</t>
    </r>
    <r>
      <rPr>
        <sz val="36"/>
        <rFont val="Times New Roman"/>
        <family val="1"/>
      </rPr>
      <t xml:space="preserve">  AM VL</t>
    </r>
    <phoneticPr fontId="4" type="noConversion"/>
  </si>
  <si>
    <t>Friday</t>
    <phoneticPr fontId="4" type="noConversion"/>
  </si>
  <si>
    <t xml:space="preserve">VL </t>
    <phoneticPr fontId="4" type="noConversion"/>
  </si>
  <si>
    <t xml:space="preserve">Harry </t>
    <phoneticPr fontId="4" type="noConversion"/>
  </si>
  <si>
    <r>
      <t>Connie 4PM ACC F</t>
    </r>
    <r>
      <rPr>
        <sz val="48"/>
        <color theme="1"/>
        <rFont val="微軟正黑體"/>
        <family val="1"/>
        <charset val="136"/>
      </rPr>
      <t>Ｕ</t>
    </r>
    <r>
      <rPr>
        <sz val="48"/>
        <color theme="1"/>
        <rFont val="Times New Roman"/>
        <family val="1"/>
      </rPr>
      <t xml:space="preserve"> </t>
    </r>
    <phoneticPr fontId="4" type="noConversion"/>
  </si>
  <si>
    <t>PM TIL</t>
    <phoneticPr fontId="4" type="noConversion"/>
  </si>
  <si>
    <t xml:space="preserve">Olgas </t>
    <phoneticPr fontId="4" type="noConversion"/>
  </si>
  <si>
    <t xml:space="preserve">Anny </t>
    <phoneticPr fontId="4" type="noConversion"/>
  </si>
  <si>
    <r>
      <rPr>
        <sz val="36"/>
        <rFont val="微軟正黑體"/>
        <family val="2"/>
        <charset val="136"/>
      </rPr>
      <t>光劭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PM TIL</t>
    </r>
    <phoneticPr fontId="4" type="noConversion"/>
  </si>
  <si>
    <t>0900-1030</t>
    <phoneticPr fontId="4" type="noConversion"/>
  </si>
  <si>
    <r>
      <rPr>
        <sz val="60"/>
        <rFont val="微軟正黑體"/>
        <family val="2"/>
        <charset val="136"/>
      </rPr>
      <t>麗雅</t>
    </r>
    <r>
      <rPr>
        <sz val="60"/>
        <rFont val="Times New Roman"/>
        <family val="1"/>
      </rPr>
      <t xml:space="preserve"> </t>
    </r>
    <phoneticPr fontId="4" type="noConversion"/>
  </si>
  <si>
    <r>
      <rPr>
        <sz val="60"/>
        <rFont val="微軟正黑體"/>
        <family val="2"/>
        <charset val="136"/>
      </rPr>
      <t>淑貞</t>
    </r>
    <r>
      <rPr>
        <sz val="60"/>
        <rFont val="Times New Roman"/>
        <family val="2"/>
        <charset val="136"/>
      </rPr>
      <t xml:space="preserve"> </t>
    </r>
    <phoneticPr fontId="4" type="noConversion"/>
  </si>
  <si>
    <r>
      <rPr>
        <sz val="60"/>
        <rFont val="微軟正黑體"/>
        <family val="2"/>
        <charset val="136"/>
      </rPr>
      <t>君</t>
    </r>
    <r>
      <rPr>
        <sz val="60"/>
        <rFont val="Times New Roman"/>
        <family val="2"/>
        <charset val="136"/>
      </rPr>
      <t xml:space="preserve"> </t>
    </r>
    <phoneticPr fontId="4" type="noConversion"/>
  </si>
  <si>
    <r>
      <rPr>
        <sz val="60"/>
        <color theme="1"/>
        <rFont val="微軟正黑體"/>
        <family val="1"/>
        <charset val="136"/>
      </rPr>
      <t>君</t>
    </r>
    <r>
      <rPr>
        <sz val="60"/>
        <color theme="1"/>
        <rFont val="Times New Roman"/>
        <family val="1"/>
      </rPr>
      <t xml:space="preserve"> </t>
    </r>
    <phoneticPr fontId="4" type="noConversion"/>
  </si>
  <si>
    <r>
      <rPr>
        <sz val="60"/>
        <color rgb="FFFF0000"/>
        <rFont val="微軟正黑體"/>
        <family val="2"/>
        <charset val="136"/>
      </rPr>
      <t>浩然</t>
    </r>
    <r>
      <rPr>
        <sz val="60"/>
        <color rgb="FFFF0000"/>
        <rFont val="Malgun Gothic Semilight"/>
        <family val="2"/>
        <charset val="136"/>
      </rPr>
      <t xml:space="preserve"> </t>
    </r>
    <phoneticPr fontId="4" type="noConversion"/>
  </si>
  <si>
    <r>
      <rPr>
        <sz val="60"/>
        <color rgb="FFFF0000"/>
        <rFont val="微軟正黑體"/>
        <family val="2"/>
        <charset val="136"/>
      </rPr>
      <t>淑貞</t>
    </r>
    <r>
      <rPr>
        <sz val="60"/>
        <color rgb="FFFF0000"/>
        <rFont val="Times New Roman"/>
        <family val="1"/>
      </rPr>
      <t xml:space="preserve"> </t>
    </r>
    <phoneticPr fontId="4" type="noConversion"/>
  </si>
  <si>
    <t>SMM (R8A)</t>
    <phoneticPr fontId="4" type="noConversion"/>
  </si>
  <si>
    <t>5, 6, 7, 8, 9, 10, 11, 12, 13, 14, 15, 16, 28</t>
    <phoneticPr fontId="4" type="noConversion"/>
  </si>
  <si>
    <t>6, 8, 9, 10, 12, 13, 14, 32</t>
    <phoneticPr fontId="4" type="noConversion"/>
  </si>
  <si>
    <t>33, 34, 35, 36, 38, 39, 40, 41</t>
    <phoneticPr fontId="4" type="noConversion"/>
  </si>
  <si>
    <t>FO (R11B)</t>
    <phoneticPr fontId="4" type="noConversion"/>
  </si>
  <si>
    <t>17, 18</t>
    <phoneticPr fontId="4" type="noConversion"/>
  </si>
  <si>
    <t>Vincent lam am 0.5</t>
    <phoneticPr fontId="4" type="noConversion"/>
  </si>
  <si>
    <t>updated by Trinity on 6/11/2025</t>
    <phoneticPr fontId="4" type="noConversion"/>
  </si>
  <si>
    <t>Harry Wed 0.25am + 0.25pm + neuro gym
Fri 0.25pm + neuro gym</t>
    <phoneticPr fontId="4" type="noConversion"/>
  </si>
  <si>
    <t>Vincent</t>
    <phoneticPr fontId="4" type="noConversion"/>
  </si>
  <si>
    <t>婉儀</t>
    <phoneticPr fontId="4" type="noConversion"/>
  </si>
  <si>
    <r>
      <rPr>
        <sz val="60"/>
        <rFont val="微軟正黑體"/>
        <family val="2"/>
        <charset val="136"/>
      </rPr>
      <t>君</t>
    </r>
    <r>
      <rPr>
        <sz val="60"/>
        <rFont val="Times New Roman"/>
        <family val="1"/>
      </rPr>
      <t xml:space="preserve"> </t>
    </r>
    <phoneticPr fontId="4" type="noConversion"/>
  </si>
  <si>
    <t>wilson</t>
    <phoneticPr fontId="4" type="noConversion"/>
  </si>
  <si>
    <t xml:space="preserve">君 </t>
  </si>
  <si>
    <t>9, 12</t>
    <phoneticPr fontId="4" type="noConversion"/>
  </si>
  <si>
    <t>10, 21, 22, 23, 25, 26, 28, 29, 30, 32, 33, 34, 36</t>
    <phoneticPr fontId="4" type="noConversion"/>
  </si>
  <si>
    <t>SMM(R8A)</t>
    <phoneticPr fontId="4" type="noConversion"/>
  </si>
  <si>
    <t>20,21,22,24, 25</t>
    <phoneticPr fontId="4" type="noConversion"/>
  </si>
  <si>
    <t>26,28</t>
    <phoneticPr fontId="4" type="noConversion"/>
  </si>
  <si>
    <t>17,18,19</t>
    <phoneticPr fontId="4" type="noConversion"/>
  </si>
  <si>
    <t>AM,1330-1415</t>
    <phoneticPr fontId="4" type="noConversion"/>
  </si>
  <si>
    <t xml:space="preserve">0900-1030 </t>
    <phoneticPr fontId="4" type="noConversion"/>
  </si>
  <si>
    <t>updated by Trinity on 7/11/2025</t>
    <phoneticPr fontId="4" type="noConversion"/>
  </si>
  <si>
    <t>SDO</t>
    <phoneticPr fontId="4" type="noConversion"/>
  </si>
  <si>
    <t>Harry 3-5 stroke accreditation</t>
    <phoneticPr fontId="4" type="noConversion"/>
  </si>
  <si>
    <t>Ivan OPA attachment AM</t>
    <phoneticPr fontId="4" type="noConversion"/>
  </si>
  <si>
    <t>Derek attach DRO team</t>
    <phoneticPr fontId="4" type="noConversion"/>
  </si>
  <si>
    <r>
      <rPr>
        <sz val="36"/>
        <rFont val="微軟正黑體"/>
        <family val="2"/>
        <charset val="136"/>
      </rPr>
      <t>明</t>
    </r>
    <r>
      <rPr>
        <sz val="36"/>
        <rFont val="Times New Roman"/>
        <family val="1"/>
      </rPr>
      <t xml:space="preserve"> VL</t>
    </r>
    <phoneticPr fontId="4" type="noConversion"/>
  </si>
  <si>
    <r>
      <rPr>
        <sz val="36"/>
        <rFont val="微軟正黑體"/>
        <family val="2"/>
        <charset val="136"/>
      </rPr>
      <t>麗雅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am VL</t>
    </r>
    <phoneticPr fontId="4" type="noConversion"/>
  </si>
  <si>
    <t>Eric Tse TIL today</t>
    <phoneticPr fontId="4" type="noConversion"/>
  </si>
  <si>
    <t xml:space="preserve">秋  </t>
    <phoneticPr fontId="4" type="noConversion"/>
  </si>
  <si>
    <t>0.5 PM</t>
    <phoneticPr fontId="4" type="noConversion"/>
  </si>
  <si>
    <t>珊</t>
    <phoneticPr fontId="4" type="noConversion"/>
  </si>
  <si>
    <r>
      <rPr>
        <sz val="36"/>
        <rFont val="微軟正黑體"/>
        <family val="2"/>
        <charset val="136"/>
      </rPr>
      <t>少華</t>
    </r>
    <r>
      <rPr>
        <sz val="36"/>
        <rFont val="Times New Roman"/>
        <family val="1"/>
      </rPr>
      <t xml:space="preserve"> SL</t>
    </r>
    <phoneticPr fontId="4" type="noConversion"/>
  </si>
  <si>
    <r>
      <rPr>
        <sz val="36"/>
        <rFont val="微軟正黑體"/>
        <family val="2"/>
        <charset val="136"/>
      </rPr>
      <t>婉儀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SL</t>
    </r>
    <phoneticPr fontId="4" type="noConversion"/>
  </si>
  <si>
    <t>FO</t>
    <phoneticPr fontId="4" type="noConversion"/>
  </si>
  <si>
    <t>18 cases</t>
    <phoneticPr fontId="4" type="noConversion"/>
  </si>
  <si>
    <t>GMC</t>
    <phoneticPr fontId="4" type="noConversion"/>
  </si>
  <si>
    <t>8 cases</t>
    <phoneticPr fontId="4" type="noConversion"/>
  </si>
  <si>
    <t>4 cases</t>
    <phoneticPr fontId="4" type="noConversion"/>
  </si>
  <si>
    <t>3 cases</t>
    <phoneticPr fontId="4" type="noConversion"/>
  </si>
  <si>
    <t>9 cases</t>
    <phoneticPr fontId="4" type="noConversion"/>
  </si>
  <si>
    <t>Oscar 10-12 De-escalation and Stress Management training</t>
    <phoneticPr fontId="4" type="noConversion"/>
  </si>
  <si>
    <t>AM IC training</t>
    <phoneticPr fontId="4" type="noConversion"/>
  </si>
  <si>
    <t>婉儀</t>
  </si>
  <si>
    <r>
      <rPr>
        <sz val="36"/>
        <rFont val="微軟正黑體"/>
        <family val="2"/>
        <charset val="136"/>
      </rPr>
      <t>浩然</t>
    </r>
    <r>
      <rPr>
        <sz val="36"/>
        <rFont val="Times New Roman"/>
        <family val="1"/>
      </rPr>
      <t xml:space="preserve">  0900-1030, 1330-1500</t>
    </r>
    <phoneticPr fontId="4" type="noConversion"/>
  </si>
  <si>
    <t xml:space="preserve">麗雅 </t>
  </si>
  <si>
    <r>
      <t>淑貞</t>
    </r>
    <r>
      <rPr>
        <sz val="60"/>
        <color rgb="FFFF0000"/>
        <rFont val="Times New Roman"/>
        <family val="1"/>
      </rPr>
      <t xml:space="preserve"> </t>
    </r>
    <phoneticPr fontId="4" type="noConversion"/>
  </si>
  <si>
    <t>Tim</t>
  </si>
  <si>
    <t>AM</t>
  </si>
  <si>
    <t>PM</t>
  </si>
  <si>
    <r>
      <rPr>
        <sz val="36"/>
        <rFont val="微軟正黑體"/>
        <family val="2"/>
        <charset val="136"/>
      </rPr>
      <t>少華</t>
    </r>
    <r>
      <rPr>
        <sz val="36"/>
        <rFont val="Times New Roman"/>
        <family val="1"/>
      </rPr>
      <t xml:space="preserve"> SL</t>
    </r>
  </si>
  <si>
    <t>友好</t>
  </si>
  <si>
    <r>
      <rPr>
        <sz val="36"/>
        <rFont val="微軟正黑體"/>
        <family val="2"/>
        <charset val="136"/>
      </rPr>
      <t>君</t>
    </r>
    <r>
      <rPr>
        <sz val="36"/>
        <rFont val="Times New Roman"/>
        <family val="1"/>
      </rPr>
      <t xml:space="preserve"> </t>
    </r>
  </si>
  <si>
    <t>淑貞</t>
  </si>
  <si>
    <t>1300-1500</t>
    <phoneticPr fontId="4" type="noConversion"/>
  </si>
  <si>
    <t>SMM (R10A)</t>
    <phoneticPr fontId="4" type="noConversion"/>
  </si>
  <si>
    <t>25, 27, 28, 33, 34 ,36, 37</t>
    <phoneticPr fontId="4" type="noConversion"/>
  </si>
  <si>
    <t>NSM (R8A)</t>
    <phoneticPr fontId="4" type="noConversion"/>
  </si>
  <si>
    <t>41, 43, 44, 45, 46, 47</t>
    <phoneticPr fontId="4" type="noConversion"/>
  </si>
  <si>
    <t>MC (R7A)</t>
    <phoneticPr fontId="4" type="noConversion"/>
  </si>
  <si>
    <t>29, 37</t>
    <phoneticPr fontId="4" type="noConversion"/>
  </si>
  <si>
    <t>8, 43, 46</t>
    <phoneticPr fontId="4" type="noConversion"/>
  </si>
  <si>
    <t>FO (R11C)</t>
    <phoneticPr fontId="4" type="noConversion"/>
  </si>
  <si>
    <t>1, 6</t>
    <phoneticPr fontId="4" type="noConversion"/>
  </si>
  <si>
    <t>12, 14, 16, 24, 32, 44</t>
    <phoneticPr fontId="4" type="noConversion"/>
  </si>
  <si>
    <t>4, 10, 25, 28, 30, 33</t>
    <phoneticPr fontId="4" type="noConversion"/>
  </si>
  <si>
    <t>Jeff AM OPD Attachment</t>
    <phoneticPr fontId="4" type="noConversion"/>
  </si>
  <si>
    <r>
      <rPr>
        <sz val="36"/>
        <rFont val="微軟正黑體"/>
        <family val="2"/>
        <charset val="136"/>
      </rPr>
      <t>浩然</t>
    </r>
    <r>
      <rPr>
        <sz val="36"/>
        <rFont val="Times New Roman"/>
        <family val="1"/>
      </rPr>
      <t xml:space="preserve">   1330-1500</t>
    </r>
    <phoneticPr fontId="4" type="noConversion"/>
  </si>
  <si>
    <r>
      <rPr>
        <sz val="36"/>
        <rFont val="微軟正黑體"/>
        <family val="2"/>
        <charset val="136"/>
      </rPr>
      <t>少華</t>
    </r>
    <r>
      <rPr>
        <sz val="36"/>
        <rFont val="Times New Roman"/>
        <family val="1"/>
      </rPr>
      <t xml:space="preserve"> </t>
    </r>
    <phoneticPr fontId="4" type="noConversion"/>
  </si>
  <si>
    <t>8 beds</t>
    <phoneticPr fontId="4" type="noConversion"/>
  </si>
  <si>
    <t xml:space="preserve">浩然  </t>
    <phoneticPr fontId="4" type="noConversion"/>
  </si>
  <si>
    <r>
      <rPr>
        <sz val="60"/>
        <color theme="1"/>
        <rFont val="微軟正黑體"/>
        <family val="1"/>
        <charset val="136"/>
      </rPr>
      <t>君</t>
    </r>
    <r>
      <rPr>
        <sz val="60"/>
        <color theme="1"/>
        <rFont val="Times New Roman"/>
        <family val="1"/>
        <charset val="136"/>
      </rPr>
      <t xml:space="preserve"> </t>
    </r>
    <phoneticPr fontId="4" type="noConversion"/>
  </si>
  <si>
    <t xml:space="preserve">Wilson, Ivan </t>
    <phoneticPr fontId="4" type="noConversion"/>
  </si>
  <si>
    <t xml:space="preserve"> 4PM ASP (zoom) </t>
    <phoneticPr fontId="4" type="noConversion"/>
  </si>
  <si>
    <t>GMC (R8C)</t>
    <phoneticPr fontId="4" type="noConversion"/>
  </si>
  <si>
    <t>1,3,5</t>
    <phoneticPr fontId="4" type="noConversion"/>
  </si>
  <si>
    <t>7,11,13</t>
    <phoneticPr fontId="4" type="noConversion"/>
  </si>
  <si>
    <t>1,3,14,16, 44</t>
    <phoneticPr fontId="4" type="noConversion"/>
  </si>
  <si>
    <t>4, 6, 10, 28, 30</t>
    <phoneticPr fontId="4" type="noConversion"/>
  </si>
  <si>
    <t>Katie 0.5 PM today</t>
    <phoneticPr fontId="4" type="noConversion"/>
  </si>
  <si>
    <t>Harry Lee pm N&amp;G meeting</t>
    <phoneticPr fontId="4" type="noConversion"/>
  </si>
  <si>
    <t>Harrison 4PM ACC FU</t>
    <phoneticPr fontId="4" type="noConversion"/>
  </si>
  <si>
    <t>Jeff PM OPD</t>
    <phoneticPr fontId="4" type="noConversion"/>
  </si>
  <si>
    <t>updated by Trinity on 12/11/2025</t>
    <phoneticPr fontId="4" type="noConversion"/>
  </si>
  <si>
    <r>
      <rPr>
        <sz val="36"/>
        <rFont val="微軟正黑體"/>
        <family val="2"/>
        <charset val="136"/>
      </rPr>
      <t>君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3:30PM PT FU</t>
    </r>
    <phoneticPr fontId="4" type="noConversion"/>
  </si>
  <si>
    <t>友好 1445 ACC FU</t>
    <phoneticPr fontId="4" type="noConversion"/>
  </si>
  <si>
    <t xml:space="preserve">少華  </t>
    <phoneticPr fontId="4" type="noConversion"/>
  </si>
  <si>
    <t xml:space="preserve"> 麗雅</t>
    <phoneticPr fontId="4" type="noConversion"/>
  </si>
  <si>
    <t xml:space="preserve">Katie </t>
    <phoneticPr fontId="4" type="noConversion"/>
  </si>
  <si>
    <t>淑貞</t>
    <phoneticPr fontId="4" type="noConversion"/>
  </si>
  <si>
    <t>1500-1630</t>
    <phoneticPr fontId="4" type="noConversion"/>
  </si>
  <si>
    <t>AM,1330-1430</t>
    <phoneticPr fontId="4" type="noConversion"/>
  </si>
  <si>
    <t>GMC (R10B)</t>
    <phoneticPr fontId="4" type="noConversion"/>
  </si>
  <si>
    <t>8,9</t>
    <phoneticPr fontId="4" type="noConversion"/>
  </si>
  <si>
    <t>1,4,6,9,18,38,39,41,46</t>
    <phoneticPr fontId="4" type="noConversion"/>
  </si>
  <si>
    <t>44, 46</t>
    <phoneticPr fontId="4" type="noConversion"/>
  </si>
  <si>
    <t>32, 33, 34, 35, 36</t>
    <phoneticPr fontId="4" type="noConversion"/>
  </si>
  <si>
    <t>3, 6, 12, 14, 16, 25, 44</t>
    <phoneticPr fontId="4" type="noConversion"/>
  </si>
  <si>
    <t>Katie 0.5 AM today</t>
    <phoneticPr fontId="4" type="noConversion"/>
  </si>
  <si>
    <t>Bonnie</t>
    <phoneticPr fontId="4" type="noConversion"/>
  </si>
  <si>
    <t>VL</t>
    <phoneticPr fontId="4" type="noConversion"/>
  </si>
  <si>
    <t>updated by Trinity on 13/11/2025</t>
    <phoneticPr fontId="4" type="noConversion"/>
  </si>
  <si>
    <r>
      <rPr>
        <sz val="36"/>
        <rFont val="微軟正黑體"/>
        <family val="2"/>
        <charset val="136"/>
      </rPr>
      <t>光劭</t>
    </r>
    <r>
      <rPr>
        <sz val="36"/>
        <rFont val="Times New Roman"/>
        <family val="1"/>
      </rPr>
      <t xml:space="preserve">  </t>
    </r>
    <r>
      <rPr>
        <sz val="36"/>
        <rFont val="Times New Roman"/>
        <family val="1"/>
      </rPr>
      <t>4:15PM POH FU</t>
    </r>
    <phoneticPr fontId="4" type="noConversion"/>
  </si>
  <si>
    <r>
      <rPr>
        <sz val="36"/>
        <rFont val="微軟正黑體"/>
        <family val="2"/>
        <charset val="136"/>
      </rPr>
      <t>浩然</t>
    </r>
    <r>
      <rPr>
        <sz val="36"/>
        <rFont val="Times New Roman"/>
        <family val="1"/>
      </rPr>
      <t xml:space="preserve">  0900 HASC FU, PM VL</t>
    </r>
    <phoneticPr fontId="4" type="noConversion"/>
  </si>
  <si>
    <t>0900-1030</t>
    <phoneticPr fontId="4" type="noConversion"/>
  </si>
  <si>
    <t>淑貞</t>
    <phoneticPr fontId="4" type="noConversion"/>
  </si>
  <si>
    <t>1030-1200</t>
    <phoneticPr fontId="4" type="noConversion"/>
  </si>
  <si>
    <t xml:space="preserve">Vincent </t>
    <phoneticPr fontId="4" type="noConversion"/>
  </si>
  <si>
    <t xml:space="preserve"> 麗雅</t>
    <phoneticPr fontId="4" type="noConversion"/>
  </si>
  <si>
    <t xml:space="preserve">君 </t>
    <phoneticPr fontId="4" type="noConversion"/>
  </si>
  <si>
    <t xml:space="preserve">淑貞 </t>
    <phoneticPr fontId="4" type="noConversion"/>
  </si>
  <si>
    <t>1330-1500</t>
    <phoneticPr fontId="4" type="noConversion"/>
  </si>
  <si>
    <t>AM</t>
    <phoneticPr fontId="4" type="noConversion"/>
  </si>
  <si>
    <t>whole day</t>
    <phoneticPr fontId="4" type="noConversion"/>
  </si>
  <si>
    <t>光劭</t>
    <phoneticPr fontId="4" type="noConversion"/>
  </si>
  <si>
    <t>1330-1500</t>
    <phoneticPr fontId="4" type="noConversion"/>
  </si>
  <si>
    <t xml:space="preserve">SFM (R9C) </t>
    <phoneticPr fontId="4" type="noConversion"/>
  </si>
  <si>
    <t>1, 2, 3, 31, 33, 34, 35, 36, 37</t>
    <phoneticPr fontId="4" type="noConversion"/>
  </si>
  <si>
    <t xml:space="preserve">SFM (R10C) </t>
    <phoneticPr fontId="4" type="noConversion"/>
  </si>
  <si>
    <t>21, 22 ,23 ,24</t>
    <phoneticPr fontId="4" type="noConversion"/>
  </si>
  <si>
    <t>4, 6, 10, 17, 31, 33, 35, 38</t>
    <phoneticPr fontId="4" type="noConversion"/>
  </si>
  <si>
    <t>51, 13, 14, 15, 16, 17, 20</t>
    <phoneticPr fontId="4" type="noConversion"/>
  </si>
  <si>
    <t xml:space="preserve">Derek </t>
    <phoneticPr fontId="4" type="noConversion"/>
  </si>
  <si>
    <t>Katie TIL today</t>
    <phoneticPr fontId="4" type="noConversion"/>
  </si>
  <si>
    <t>updated by Trinity on 14/11/2025</t>
    <phoneticPr fontId="4" type="noConversion"/>
  </si>
  <si>
    <t>麗雅 VL</t>
    <phoneticPr fontId="4" type="noConversion"/>
  </si>
  <si>
    <r>
      <rPr>
        <sz val="36"/>
        <rFont val="微軟正黑體"/>
        <family val="2"/>
        <charset val="136"/>
      </rPr>
      <t>光劭</t>
    </r>
    <r>
      <rPr>
        <sz val="36"/>
        <rFont val="Times New Roman"/>
        <family val="1"/>
      </rPr>
      <t xml:space="preserve">  </t>
    </r>
    <phoneticPr fontId="4" type="noConversion"/>
  </si>
  <si>
    <r>
      <rPr>
        <sz val="36"/>
        <rFont val="微軟正黑體"/>
        <family val="2"/>
        <charset val="136"/>
      </rPr>
      <t>張麗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PM VL</t>
    </r>
    <phoneticPr fontId="4" type="noConversion"/>
  </si>
  <si>
    <r>
      <rPr>
        <sz val="36"/>
        <rFont val="微軟正黑體"/>
        <family val="2"/>
        <charset val="136"/>
      </rPr>
      <t>浩然</t>
    </r>
    <r>
      <rPr>
        <sz val="36"/>
        <rFont val="Times New Roman"/>
        <family val="1"/>
      </rPr>
      <t xml:space="preserve">  0900-1030</t>
    </r>
    <phoneticPr fontId="4" type="noConversion"/>
  </si>
  <si>
    <t>Wilson, Ivan 4PM ASP (ZOOM)</t>
    <phoneticPr fontId="4" type="noConversion"/>
  </si>
  <si>
    <t xml:space="preserve">Ivan </t>
    <phoneticPr fontId="4" type="noConversion"/>
  </si>
  <si>
    <t>AM OPA attachment</t>
    <phoneticPr fontId="4" type="noConversion"/>
  </si>
  <si>
    <t>Tue / Thurs:: Becky Law</t>
    <phoneticPr fontId="4" type="noConversion"/>
  </si>
  <si>
    <r>
      <rPr>
        <sz val="48"/>
        <color theme="1"/>
        <rFont val="細明體"/>
        <family val="3"/>
        <charset val="136"/>
      </rPr>
      <t>淑貞</t>
    </r>
    <r>
      <rPr>
        <sz val="48"/>
        <color theme="1"/>
        <rFont val="Times New Roman"/>
        <family val="1"/>
      </rPr>
      <t xml:space="preserve"> </t>
    </r>
    <phoneticPr fontId="4" type="noConversion"/>
  </si>
  <si>
    <r>
      <rPr>
        <sz val="48"/>
        <rFont val="微軟正黑體"/>
        <family val="2"/>
        <charset val="136"/>
      </rPr>
      <t>光劭</t>
    </r>
    <r>
      <rPr>
        <sz val="48"/>
        <rFont val="Malgun Gothic Semilight"/>
        <family val="2"/>
        <charset val="136"/>
      </rPr>
      <t xml:space="preserve">  </t>
    </r>
    <phoneticPr fontId="4" type="noConversion"/>
  </si>
  <si>
    <r>
      <rPr>
        <sz val="36"/>
        <rFont val="微軟正黑體"/>
        <family val="2"/>
        <charset val="136"/>
      </rPr>
      <t>君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?SL</t>
    </r>
    <phoneticPr fontId="4" type="noConversion"/>
  </si>
  <si>
    <t>秋 SL</t>
    <phoneticPr fontId="4" type="noConversion"/>
  </si>
  <si>
    <t>15, 16, 17, 19, 21, 26, 27, 28</t>
    <phoneticPr fontId="4" type="noConversion"/>
  </si>
  <si>
    <t>25, 26, 27, 28, 31, 32, 34</t>
    <phoneticPr fontId="4" type="noConversion"/>
  </si>
  <si>
    <t>6, 7, 21, 22, 25, 26, 28, 29, 30, 32, 33, 34, 35, 36, 38, 39</t>
    <phoneticPr fontId="4" type="noConversion"/>
  </si>
  <si>
    <t>13, 14, 15, 16, 17, 20, 21, 24, 24, 51</t>
    <phoneticPr fontId="4" type="noConversion"/>
  </si>
  <si>
    <t>31, 32 ,33 ,34 ,35</t>
    <phoneticPr fontId="4" type="noConversion"/>
  </si>
  <si>
    <t>12, 14, 16, 27, 31, 37, 43, 44</t>
    <phoneticPr fontId="4" type="noConversion"/>
  </si>
  <si>
    <t>3, 4, 9, 10, 11, 17, 25, 27</t>
    <phoneticPr fontId="4" type="noConversion"/>
  </si>
  <si>
    <t>Oscar</t>
    <phoneticPr fontId="4" type="noConversion"/>
  </si>
  <si>
    <t xml:space="preserve"> 3:30pm TIL </t>
    <phoneticPr fontId="4" type="noConversion"/>
  </si>
  <si>
    <t>Cherrie</t>
    <phoneticPr fontId="4" type="noConversion"/>
  </si>
  <si>
    <t>1620 N95 fit test</t>
    <phoneticPr fontId="4" type="noConversion"/>
  </si>
  <si>
    <t>Vivan</t>
    <phoneticPr fontId="4" type="noConversion"/>
  </si>
  <si>
    <r>
      <rPr>
        <sz val="36"/>
        <rFont val="微軟正黑體"/>
        <family val="2"/>
        <charset val="136"/>
      </rPr>
      <t>君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SL</t>
    </r>
    <phoneticPr fontId="4" type="noConversion"/>
  </si>
  <si>
    <r>
      <rPr>
        <sz val="36"/>
        <rFont val="微軟正黑體"/>
        <family val="2"/>
        <charset val="136"/>
      </rPr>
      <t>少華</t>
    </r>
    <r>
      <rPr>
        <sz val="36"/>
        <rFont val="Times New Roman"/>
        <family val="1"/>
      </rPr>
      <t xml:space="preserve">  9:30 am ACC FU </t>
    </r>
    <phoneticPr fontId="4" type="noConversion"/>
  </si>
  <si>
    <t>淑貞</t>
    <phoneticPr fontId="4" type="noConversion"/>
  </si>
  <si>
    <t>0900-1030</t>
    <phoneticPr fontId="4" type="noConversion"/>
  </si>
  <si>
    <t>updated by Trinity on 17/11/2025</t>
    <phoneticPr fontId="4" type="noConversion"/>
  </si>
  <si>
    <t xml:space="preserve">Katie </t>
    <phoneticPr fontId="4" type="noConversion"/>
  </si>
  <si>
    <t>AM</t>
    <phoneticPr fontId="4" type="noConversion"/>
  </si>
  <si>
    <t xml:space="preserve">Katie AM </t>
    <phoneticPr fontId="4" type="noConversion"/>
  </si>
  <si>
    <t>0900-0930, 1030-1200, pm</t>
    <phoneticPr fontId="4" type="noConversion"/>
  </si>
  <si>
    <t>0.25 PM</t>
    <phoneticPr fontId="4" type="noConversion"/>
  </si>
  <si>
    <t xml:space="preserve">光劭  </t>
  </si>
  <si>
    <t>9, 26, 32, 36, 40, 43</t>
    <phoneticPr fontId="4" type="noConversion"/>
  </si>
  <si>
    <t>17, 18, 20, 21, 22, 24</t>
    <phoneticPr fontId="4" type="noConversion"/>
  </si>
  <si>
    <t>CPPC (R9A)</t>
    <phoneticPr fontId="4" type="noConversion"/>
  </si>
  <si>
    <t>6, 11, 14</t>
    <phoneticPr fontId="4" type="noConversion"/>
  </si>
  <si>
    <t>6, 21, 22, 25, 26, 28, 29, 30, 32, 34, 35, 36, 38, 39</t>
    <phoneticPr fontId="4" type="noConversion"/>
  </si>
  <si>
    <t>6, 12, 14, 16, 35, 36 37, 43, 44</t>
    <phoneticPr fontId="4" type="noConversion"/>
  </si>
  <si>
    <t>17, 30</t>
    <phoneticPr fontId="4" type="noConversion"/>
  </si>
  <si>
    <t>4, 10</t>
    <phoneticPr fontId="4" type="noConversion"/>
  </si>
  <si>
    <t xml:space="preserve">4PM POLYU ASP (leave at 3) </t>
    <phoneticPr fontId="4" type="noConversion"/>
  </si>
  <si>
    <t xml:space="preserve">Wilson </t>
    <phoneticPr fontId="4" type="noConversion"/>
  </si>
  <si>
    <t xml:space="preserve">and Ivan </t>
    <phoneticPr fontId="4" type="noConversion"/>
  </si>
  <si>
    <r>
      <rPr>
        <sz val="48"/>
        <color theme="1"/>
        <rFont val="Times New Roman"/>
        <family val="1"/>
      </rPr>
      <t xml:space="preserve">8AM </t>
    </r>
    <r>
      <rPr>
        <sz val="48"/>
        <color theme="1"/>
        <rFont val="微軟正黑體"/>
        <family val="1"/>
        <charset val="136"/>
      </rPr>
      <t>抽血</t>
    </r>
    <phoneticPr fontId="4" type="noConversion"/>
  </si>
  <si>
    <t>updated by Trinity on 18/11/2025</t>
    <phoneticPr fontId="4" type="noConversion"/>
  </si>
  <si>
    <t>Aster</t>
    <phoneticPr fontId="4" type="noConversion"/>
  </si>
  <si>
    <t xml:space="preserve">Katie </t>
    <phoneticPr fontId="4" type="noConversion"/>
  </si>
  <si>
    <t>AM</t>
    <phoneticPr fontId="4" type="noConversion"/>
  </si>
  <si>
    <t>浩然</t>
    <phoneticPr fontId="4" type="noConversion"/>
  </si>
  <si>
    <t xml:space="preserve">光劭  </t>
    <phoneticPr fontId="4" type="noConversion"/>
  </si>
  <si>
    <t xml:space="preserve">Harry </t>
    <phoneticPr fontId="4" type="noConversion"/>
  </si>
  <si>
    <t>0.25AM, 0.25PM</t>
    <phoneticPr fontId="4" type="noConversion"/>
  </si>
  <si>
    <t>Ivan</t>
    <phoneticPr fontId="4" type="noConversion"/>
  </si>
  <si>
    <t xml:space="preserve">淑貞 </t>
    <phoneticPr fontId="4" type="noConversion"/>
  </si>
  <si>
    <t xml:space="preserve">光劭  </t>
    <phoneticPr fontId="4" type="noConversion"/>
  </si>
  <si>
    <t>6, 10, 11, 21, 22, 25, 26, 28, 29, 30, 32, 33, 34, 35, 36, 38, 39</t>
    <phoneticPr fontId="4" type="noConversion"/>
  </si>
  <si>
    <t>49, 51</t>
    <phoneticPr fontId="4" type="noConversion"/>
  </si>
  <si>
    <t>6, 34, 36</t>
    <phoneticPr fontId="4" type="noConversion"/>
  </si>
  <si>
    <t>7, 9</t>
    <phoneticPr fontId="4" type="noConversion"/>
  </si>
  <si>
    <t>6, 9, 10, 11, 14, 16, 22, 36</t>
    <phoneticPr fontId="4" type="noConversion"/>
  </si>
  <si>
    <t>updated by Trinity on 19/11/2025</t>
    <phoneticPr fontId="4" type="noConversion"/>
  </si>
  <si>
    <t>Katie PM</t>
    <phoneticPr fontId="4" type="noConversion"/>
  </si>
  <si>
    <t xml:space="preserve">0830-1300 CMC BLS </t>
    <phoneticPr fontId="4" type="noConversion"/>
  </si>
  <si>
    <t>0.3 PM</t>
    <phoneticPr fontId="4" type="noConversion"/>
  </si>
  <si>
    <r>
      <rPr>
        <sz val="36"/>
        <rFont val="微軟正黑體"/>
        <family val="2"/>
        <charset val="136"/>
      </rPr>
      <t>婉儀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 xml:space="preserve">3:30PM PT FU </t>
    </r>
    <phoneticPr fontId="4" type="noConversion"/>
  </si>
  <si>
    <t>AM, 1330-1515</t>
    <phoneticPr fontId="4" type="noConversion"/>
  </si>
  <si>
    <r>
      <rPr>
        <sz val="55"/>
        <rFont val="Malgun Gothic Semilight"/>
        <family val="2"/>
        <charset val="136"/>
      </rPr>
      <t>珊</t>
    </r>
    <phoneticPr fontId="4" type="noConversion"/>
  </si>
  <si>
    <r>
      <rPr>
        <sz val="55"/>
        <rFont val="微軟正黑體"/>
        <family val="2"/>
        <charset val="136"/>
      </rPr>
      <t>浩然</t>
    </r>
  </si>
  <si>
    <r>
      <rPr>
        <sz val="55"/>
        <rFont val="微軟正黑體"/>
        <family val="2"/>
        <charset val="136"/>
      </rPr>
      <t>明</t>
    </r>
    <r>
      <rPr>
        <sz val="55"/>
        <rFont val="Times New Roman"/>
        <family val="1"/>
      </rPr>
      <t xml:space="preserve"> </t>
    </r>
    <phoneticPr fontId="4" type="noConversion"/>
  </si>
  <si>
    <r>
      <rPr>
        <sz val="55"/>
        <rFont val="Malgun Gothic Semilight"/>
        <family val="2"/>
        <charset val="136"/>
      </rPr>
      <t>桂花</t>
    </r>
    <r>
      <rPr>
        <sz val="55"/>
        <rFont val="Times New Roman"/>
        <family val="1"/>
      </rPr>
      <t xml:space="preserve"> </t>
    </r>
    <phoneticPr fontId="4" type="noConversion"/>
  </si>
  <si>
    <r>
      <rPr>
        <sz val="55"/>
        <rFont val="微軟正黑體"/>
        <family val="2"/>
        <charset val="136"/>
      </rPr>
      <t>婉儀</t>
    </r>
    <r>
      <rPr>
        <sz val="55"/>
        <rFont val="Times New Roman"/>
        <family val="1"/>
      </rPr>
      <t xml:space="preserve"> </t>
    </r>
    <phoneticPr fontId="4" type="noConversion"/>
  </si>
  <si>
    <r>
      <rPr>
        <sz val="55"/>
        <rFont val="微軟正黑體"/>
        <family val="2"/>
        <charset val="136"/>
      </rPr>
      <t>少華</t>
    </r>
    <r>
      <rPr>
        <sz val="55"/>
        <rFont val="Times New Roman"/>
        <family val="1"/>
      </rPr>
      <t xml:space="preserve">  </t>
    </r>
    <phoneticPr fontId="4" type="noConversion"/>
  </si>
  <si>
    <r>
      <rPr>
        <sz val="55"/>
        <rFont val="Malgun Gothic Semilight"/>
        <family val="2"/>
        <charset val="136"/>
      </rPr>
      <t>宛諭</t>
    </r>
    <r>
      <rPr>
        <sz val="55"/>
        <rFont val="Times New Roman"/>
        <family val="1"/>
      </rPr>
      <t xml:space="preserve"> </t>
    </r>
  </si>
  <si>
    <r>
      <rPr>
        <sz val="55"/>
        <rFont val="Malgun Gothic Semilight"/>
        <family val="2"/>
        <charset val="136"/>
      </rPr>
      <t>張麗</t>
    </r>
    <r>
      <rPr>
        <sz val="55"/>
        <rFont val="Times New Roman"/>
        <family val="1"/>
      </rPr>
      <t xml:space="preserve"> </t>
    </r>
  </si>
  <si>
    <r>
      <rPr>
        <sz val="55"/>
        <rFont val="微軟正黑體"/>
        <family val="2"/>
        <charset val="136"/>
      </rPr>
      <t>淑貞</t>
    </r>
    <r>
      <rPr>
        <sz val="55"/>
        <rFont val="Times New Roman"/>
        <family val="1"/>
      </rPr>
      <t xml:space="preserve"> </t>
    </r>
    <phoneticPr fontId="4" type="noConversion"/>
  </si>
  <si>
    <r>
      <rPr>
        <sz val="36"/>
        <rFont val="微軟正黑體"/>
        <family val="2"/>
        <charset val="136"/>
      </rPr>
      <t>君</t>
    </r>
    <r>
      <rPr>
        <sz val="36"/>
        <rFont val="Times New Roman"/>
        <family val="1"/>
      </rPr>
      <t xml:space="preserve"> SL</t>
    </r>
    <phoneticPr fontId="4" type="noConversion"/>
  </si>
  <si>
    <r>
      <t>淑貞</t>
    </r>
    <r>
      <rPr>
        <sz val="55"/>
        <rFont val="Times New Roman"/>
        <family val="2"/>
        <charset val="136"/>
      </rPr>
      <t xml:space="preserve"> </t>
    </r>
  </si>
  <si>
    <t>Harrison</t>
    <phoneticPr fontId="4" type="noConversion"/>
  </si>
  <si>
    <t>38, 40</t>
    <phoneticPr fontId="4" type="noConversion"/>
  </si>
  <si>
    <t>21, 22, 23, 25, 26, 28</t>
    <phoneticPr fontId="4" type="noConversion"/>
  </si>
  <si>
    <t>6, 21, 22, 25, 26, 27, 29, 30, 31, 32, 33, 34, 35, 36, 39</t>
    <phoneticPr fontId="4" type="noConversion"/>
  </si>
  <si>
    <t>8, 12, 16, 36, 44, 46, 48</t>
    <phoneticPr fontId="4" type="noConversion"/>
  </si>
  <si>
    <t>1, 4, 12, 28, 29, 30, 32, 34, 36</t>
    <phoneticPr fontId="4" type="noConversion"/>
  </si>
  <si>
    <t>Cherry</t>
    <phoneticPr fontId="4" type="noConversion"/>
  </si>
  <si>
    <t>TIL</t>
    <phoneticPr fontId="4" type="noConversion"/>
  </si>
  <si>
    <t>KH CE 
training</t>
    <phoneticPr fontId="4" type="noConversion"/>
  </si>
  <si>
    <r>
      <rPr>
        <sz val="55"/>
        <color theme="1"/>
        <rFont val="Malgun Gothic Semilight"/>
        <family val="2"/>
        <charset val="136"/>
      </rPr>
      <t>秋</t>
    </r>
    <r>
      <rPr>
        <sz val="55"/>
        <color theme="1"/>
        <rFont val="Times New Roman"/>
        <family val="1"/>
      </rPr>
      <t xml:space="preserve">  </t>
    </r>
    <phoneticPr fontId="4" type="noConversion"/>
  </si>
  <si>
    <t>素蘭</t>
  </si>
  <si>
    <t>明 + 素蘭 AM</t>
    <phoneticPr fontId="4" type="noConversion"/>
  </si>
  <si>
    <t>AM attachment</t>
    <phoneticPr fontId="4" type="noConversion"/>
  </si>
  <si>
    <r>
      <rPr>
        <sz val="36"/>
        <rFont val="微軟正黑體"/>
        <family val="2"/>
        <charset val="136"/>
      </rPr>
      <t>婉儀</t>
    </r>
    <r>
      <rPr>
        <sz val="36"/>
        <rFont val="Times New Roman"/>
        <family val="1"/>
      </rPr>
      <t xml:space="preserve"> PM VL</t>
    </r>
    <phoneticPr fontId="4" type="noConversion"/>
  </si>
  <si>
    <t>updated by Connie on 20/11/2025</t>
    <phoneticPr fontId="4" type="noConversion"/>
  </si>
  <si>
    <t xml:space="preserve">Stella </t>
    <phoneticPr fontId="4" type="noConversion"/>
  </si>
  <si>
    <t>浩然 AM urgent leave</t>
    <phoneticPr fontId="4" type="noConversion"/>
  </si>
  <si>
    <t>Thomas</t>
    <phoneticPr fontId="4" type="noConversion"/>
  </si>
  <si>
    <t>21, 23, 24, 25, 26, 28, 34</t>
    <phoneticPr fontId="4" type="noConversion"/>
  </si>
  <si>
    <t>28, 29, 30, 31, 32, 34, 35, 36, 37</t>
    <phoneticPr fontId="4" type="noConversion"/>
  </si>
  <si>
    <t>12, 42, 44</t>
    <phoneticPr fontId="4" type="noConversion"/>
  </si>
  <si>
    <t>6, 7, 21, 22, 26, 27, 29, 30, 31, 32, 33, 34, 35, 36, 39, 40</t>
    <phoneticPr fontId="4" type="noConversion"/>
  </si>
  <si>
    <t>HCC meeting 4pm</t>
    <phoneticPr fontId="4" type="noConversion"/>
  </si>
  <si>
    <t xml:space="preserve">Aster </t>
    <phoneticPr fontId="4" type="noConversion"/>
  </si>
  <si>
    <t xml:space="preserve">Eric </t>
    <phoneticPr fontId="4" type="noConversion"/>
  </si>
  <si>
    <r>
      <rPr>
        <sz val="36"/>
        <rFont val="微軟正黑體"/>
        <family val="2"/>
        <charset val="136"/>
      </rPr>
      <t>珊</t>
    </r>
    <r>
      <rPr>
        <sz val="36"/>
        <rFont val="Malgun Gothic Semilight"/>
        <family val="2"/>
        <charset val="136"/>
      </rPr>
      <t xml:space="preserve"> SDO</t>
    </r>
    <phoneticPr fontId="4" type="noConversion"/>
  </si>
  <si>
    <r>
      <rPr>
        <sz val="36"/>
        <rFont val="微軟正黑體"/>
        <family val="2"/>
        <charset val="136"/>
      </rPr>
      <t>光劭</t>
    </r>
    <r>
      <rPr>
        <sz val="36"/>
        <rFont val="Times New Roman"/>
        <family val="2"/>
      </rPr>
      <t xml:space="preserve"> PM TIL</t>
    </r>
    <phoneticPr fontId="4" type="noConversion"/>
  </si>
  <si>
    <t>updated by Connie on 21/11/2025</t>
    <phoneticPr fontId="4" type="noConversion"/>
  </si>
  <si>
    <t>明 SL</t>
    <phoneticPr fontId="4" type="noConversion"/>
  </si>
  <si>
    <t xml:space="preserve">Cherry </t>
    <phoneticPr fontId="4" type="noConversion"/>
  </si>
  <si>
    <t>Relief CPT</t>
    <phoneticPr fontId="4" type="noConversion"/>
  </si>
  <si>
    <t>8, 11, 12, 17, 19, 21, 22, 26, 31, 32, 33, 34, 35, 36, 38, 39, 41, 43, 50</t>
    <phoneticPr fontId="4" type="noConversion"/>
  </si>
  <si>
    <t>SFM  (R9C)</t>
    <phoneticPr fontId="4" type="noConversion"/>
  </si>
  <si>
    <t>3, 4, 31, 32, 33 ,35</t>
    <phoneticPr fontId="4" type="noConversion"/>
  </si>
  <si>
    <t>9, 10, 12  ,13</t>
    <phoneticPr fontId="4" type="noConversion"/>
  </si>
  <si>
    <t>14, 15, 16, 17, 20, 21 ,23 ,24 ,51</t>
    <phoneticPr fontId="4" type="noConversion"/>
  </si>
  <si>
    <t>1, 4, 43, 46</t>
    <phoneticPr fontId="4" type="noConversion"/>
  </si>
  <si>
    <t>1, 3, 35, 37, 39, 41, 45</t>
    <phoneticPr fontId="4" type="noConversion"/>
  </si>
  <si>
    <t xml:space="preserve"> Jeff AM OPD Attachment </t>
    <phoneticPr fontId="4" type="noConversion"/>
  </si>
  <si>
    <r>
      <rPr>
        <sz val="36"/>
        <rFont val="微軟正黑體"/>
        <family val="2"/>
        <charset val="136"/>
      </rPr>
      <t>珊</t>
    </r>
    <r>
      <rPr>
        <sz val="36"/>
        <rFont val="Malgun Gothic Semilight"/>
        <family val="2"/>
        <charset val="136"/>
      </rPr>
      <t xml:space="preserve"> VL</t>
    </r>
    <phoneticPr fontId="4" type="noConversion"/>
  </si>
  <si>
    <r>
      <rPr>
        <sz val="36"/>
        <rFont val="微軟正黑體"/>
        <family val="2"/>
        <charset val="136"/>
      </rPr>
      <t>光劭</t>
    </r>
    <r>
      <rPr>
        <sz val="36"/>
        <rFont val="Times New Roman"/>
        <family val="2"/>
      </rPr>
      <t xml:space="preserve"> </t>
    </r>
    <phoneticPr fontId="4" type="noConversion"/>
  </si>
  <si>
    <t>婉儀3:30PM PT FU</t>
    <phoneticPr fontId="4" type="noConversion"/>
  </si>
  <si>
    <t>浩然 1330-1500</t>
    <phoneticPr fontId="4" type="noConversion"/>
  </si>
  <si>
    <t>淑貞</t>
    <phoneticPr fontId="4" type="noConversion"/>
  </si>
  <si>
    <t>0900-1030</t>
    <phoneticPr fontId="4" type="noConversion"/>
  </si>
  <si>
    <t xml:space="preserve">淑貞 </t>
    <phoneticPr fontId="4" type="noConversion"/>
  </si>
  <si>
    <t>1330-1500</t>
    <phoneticPr fontId="4" type="noConversion"/>
  </si>
  <si>
    <r>
      <rPr>
        <sz val="55"/>
        <rFont val="細明體"/>
        <family val="3"/>
        <charset val="136"/>
      </rPr>
      <t>淑貞</t>
    </r>
    <r>
      <rPr>
        <sz val="55"/>
        <rFont val="Times New Roman"/>
        <family val="1"/>
      </rPr>
      <t xml:space="preserve"> </t>
    </r>
    <phoneticPr fontId="4" type="noConversion"/>
  </si>
  <si>
    <t>1030-1200</t>
    <phoneticPr fontId="4" type="noConversion"/>
  </si>
  <si>
    <t>1500-1630</t>
    <phoneticPr fontId="4" type="noConversion"/>
  </si>
  <si>
    <t>浩然</t>
    <phoneticPr fontId="4" type="noConversion"/>
  </si>
  <si>
    <r>
      <rPr>
        <sz val="55"/>
        <color theme="1"/>
        <rFont val="細明體"/>
        <family val="3"/>
        <charset val="136"/>
      </rPr>
      <t>光劭</t>
    </r>
    <r>
      <rPr>
        <sz val="55"/>
        <color theme="1"/>
        <rFont val="Times New Roman"/>
        <family val="1"/>
      </rPr>
      <t xml:space="preserve"> </t>
    </r>
    <phoneticPr fontId="4" type="noConversion"/>
  </si>
  <si>
    <t xml:space="preserve">光劭 </t>
    <phoneticPr fontId="4" type="noConversion"/>
  </si>
  <si>
    <t>updated by Trinity on 24/11/2025</t>
    <phoneticPr fontId="4" type="noConversion"/>
  </si>
  <si>
    <t>AM, 
1330-1530</t>
    <phoneticPr fontId="4" type="noConversion"/>
  </si>
  <si>
    <r>
      <rPr>
        <sz val="36"/>
        <rFont val="微軟正黑體"/>
        <family val="2"/>
        <charset val="136"/>
      </rPr>
      <t>宛諭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SL</t>
    </r>
    <phoneticPr fontId="4" type="noConversion"/>
  </si>
  <si>
    <t>3, 35</t>
    <phoneticPr fontId="4" type="noConversion"/>
  </si>
  <si>
    <t>36, 37, 49</t>
    <phoneticPr fontId="4" type="noConversion"/>
  </si>
  <si>
    <t>9, 10, 12 ,13, 14, 15, 16, 17, 18, 20, 21, 23, 24, 51</t>
    <phoneticPr fontId="4" type="noConversion"/>
  </si>
  <si>
    <t>6, 12, 17, 18, 19, 21, 22, 26, 27, 30, 31, 32, 33, 34, 35, 38, 39, 41, 44</t>
    <phoneticPr fontId="4" type="noConversion"/>
  </si>
  <si>
    <t>1, 3, 12, 16, 33, 35</t>
    <phoneticPr fontId="4" type="noConversion"/>
  </si>
  <si>
    <t>37, 39, 41</t>
    <phoneticPr fontId="4" type="noConversion"/>
  </si>
  <si>
    <t>43, 45, 47</t>
    <phoneticPr fontId="4" type="noConversion"/>
  </si>
  <si>
    <t>1, 3, 4, 25, 27, 29, 31, 33</t>
    <phoneticPr fontId="4" type="noConversion"/>
  </si>
  <si>
    <t>Haryy Li TIL</t>
    <phoneticPr fontId="4" type="noConversion"/>
  </si>
  <si>
    <t>Aggie VL</t>
    <phoneticPr fontId="4" type="noConversion"/>
  </si>
  <si>
    <t>浩然 whole day robotic</t>
    <phoneticPr fontId="4" type="noConversion"/>
  </si>
  <si>
    <t>麗雅 9:15 am POH FU</t>
    <phoneticPr fontId="4" type="noConversion"/>
  </si>
  <si>
    <r>
      <rPr>
        <sz val="36"/>
        <rFont val="微軟正黑體"/>
        <family val="2"/>
        <charset val="136"/>
      </rPr>
      <t>桂花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2:30-4:30PM De-escalation and Stress Management training</t>
    </r>
    <phoneticPr fontId="4" type="noConversion"/>
  </si>
  <si>
    <r>
      <t xml:space="preserve">秋 </t>
    </r>
    <r>
      <rPr>
        <sz val="24"/>
        <color theme="1"/>
        <rFont val="微軟正黑體"/>
        <family val="2"/>
        <charset val="136"/>
      </rPr>
      <t>2:30-4:30PM De-escalation and Stress Management training</t>
    </r>
    <phoneticPr fontId="4" type="noConversion"/>
  </si>
  <si>
    <t xml:space="preserve">Whole day </t>
    <phoneticPr fontId="4" type="noConversion"/>
  </si>
  <si>
    <r>
      <rPr>
        <sz val="55"/>
        <rFont val="微軟正黑體"/>
        <family val="1"/>
        <charset val="136"/>
      </rPr>
      <t>淑貞</t>
    </r>
    <r>
      <rPr>
        <sz val="55"/>
        <rFont val="Times New Roman"/>
        <family val="1"/>
      </rPr>
      <t xml:space="preserve"> </t>
    </r>
    <phoneticPr fontId="4" type="noConversion"/>
  </si>
  <si>
    <r>
      <rPr>
        <sz val="36"/>
        <rFont val="微軟正黑體"/>
        <family val="2"/>
        <charset val="136"/>
      </rPr>
      <t>宛諭</t>
    </r>
    <r>
      <rPr>
        <sz val="36"/>
        <rFont val="Times New Roman"/>
        <family val="1"/>
      </rPr>
      <t xml:space="preserve"> SL</t>
    </r>
    <phoneticPr fontId="4" type="noConversion"/>
  </si>
  <si>
    <t xml:space="preserve">淑貞 </t>
    <phoneticPr fontId="4" type="noConversion"/>
  </si>
  <si>
    <t>1330-1500</t>
    <phoneticPr fontId="4" type="noConversion"/>
  </si>
  <si>
    <t xml:space="preserve">光劭 </t>
    <phoneticPr fontId="4" type="noConversion"/>
  </si>
  <si>
    <t>0900-1030</t>
    <phoneticPr fontId="4" type="noConversion"/>
  </si>
  <si>
    <t>1030-1200</t>
    <phoneticPr fontId="4" type="noConversion"/>
  </si>
  <si>
    <t xml:space="preserve">麗雅 </t>
    <phoneticPr fontId="4" type="noConversion"/>
  </si>
  <si>
    <t>PM</t>
    <phoneticPr fontId="4" type="noConversion"/>
  </si>
  <si>
    <t>8, 10, 11, 17, 18, 19</t>
    <phoneticPr fontId="4" type="noConversion"/>
  </si>
  <si>
    <t>21, 22, 26, 27, 30, 31, 32</t>
    <phoneticPr fontId="4" type="noConversion"/>
  </si>
  <si>
    <t>1, 3, 4, 7, 25, 27, 29, 31, 33, 35</t>
    <phoneticPr fontId="4" type="noConversion"/>
  </si>
  <si>
    <t>1, 7</t>
    <phoneticPr fontId="4" type="noConversion"/>
  </si>
  <si>
    <t>3, 16</t>
    <phoneticPr fontId="4" type="noConversion"/>
  </si>
  <si>
    <t>27, 33, 35, 37</t>
    <phoneticPr fontId="4" type="noConversion"/>
  </si>
  <si>
    <t>39, 41, 43, 45, 47</t>
    <phoneticPr fontId="4" type="noConversion"/>
  </si>
  <si>
    <t>Amanda 4PM ACC FU</t>
    <phoneticPr fontId="4" type="noConversion"/>
  </si>
  <si>
    <t xml:space="preserve">Cherry AM M001 zoom </t>
    <phoneticPr fontId="4" type="noConversion"/>
  </si>
  <si>
    <t xml:space="preserve">PM </t>
    <phoneticPr fontId="4" type="noConversion"/>
  </si>
  <si>
    <t>君</t>
    <phoneticPr fontId="4" type="noConversion"/>
  </si>
  <si>
    <t>1030-1200</t>
    <phoneticPr fontId="4" type="noConversion"/>
  </si>
  <si>
    <t>1500-1630</t>
    <phoneticPr fontId="4" type="noConversion"/>
  </si>
  <si>
    <t xml:space="preserve">光劭 </t>
    <phoneticPr fontId="4" type="noConversion"/>
  </si>
  <si>
    <t xml:space="preserve">麗雅 </t>
    <phoneticPr fontId="4" type="noConversion"/>
  </si>
  <si>
    <t>AM</t>
    <phoneticPr fontId="4" type="noConversion"/>
  </si>
  <si>
    <t>PM</t>
    <phoneticPr fontId="4" type="noConversion"/>
  </si>
  <si>
    <t>麗雅</t>
    <phoneticPr fontId="4" type="noConversion"/>
  </si>
  <si>
    <t>updated by Trinity on 26/11/2025</t>
    <phoneticPr fontId="4" type="noConversion"/>
  </si>
  <si>
    <t>0900-1030 1330-1500</t>
    <phoneticPr fontId="4" type="noConversion"/>
  </si>
  <si>
    <t>10, 14, 19</t>
    <phoneticPr fontId="4" type="noConversion"/>
  </si>
  <si>
    <t>21, 22, 24, 26, 27, 30, 31, 32, 33, 34, 35, 36</t>
    <phoneticPr fontId="4" type="noConversion"/>
  </si>
  <si>
    <t>38, 39, 40, 41, 44</t>
    <phoneticPr fontId="4" type="noConversion"/>
  </si>
  <si>
    <t>1, 3, 4, 10, 25, 27, 29, 31</t>
    <phoneticPr fontId="4" type="noConversion"/>
  </si>
  <si>
    <t>33, 35, 40</t>
    <phoneticPr fontId="4" type="noConversion"/>
  </si>
  <si>
    <t>1, 3, 7, 27, 33, 35, 37, 39, 41, 43, 45, 47</t>
    <phoneticPr fontId="4" type="noConversion"/>
  </si>
  <si>
    <t>updated by Trinity on 27/11/2025</t>
    <phoneticPr fontId="4" type="noConversion"/>
  </si>
  <si>
    <t>Harry Li  childcare leave</t>
    <phoneticPr fontId="4" type="noConversion"/>
  </si>
  <si>
    <t>Yannis Staff Clinic FU</t>
  </si>
  <si>
    <r>
      <rPr>
        <sz val="36"/>
        <rFont val="微軟正黑體"/>
        <family val="2"/>
        <charset val="136"/>
      </rPr>
      <t>少華</t>
    </r>
    <r>
      <rPr>
        <sz val="36"/>
        <rFont val="Times New Roman"/>
        <family val="2"/>
      </rPr>
      <t xml:space="preserve"> PM VL</t>
    </r>
    <phoneticPr fontId="4" type="noConversion"/>
  </si>
  <si>
    <r>
      <rPr>
        <sz val="36"/>
        <rFont val="微軟正黑體"/>
        <family val="2"/>
        <charset val="136"/>
      </rPr>
      <t>淑貞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VL</t>
    </r>
    <phoneticPr fontId="4" type="noConversion"/>
  </si>
  <si>
    <t>21, 22</t>
    <phoneticPr fontId="4" type="noConversion"/>
  </si>
  <si>
    <t>24, 26, 27, 30, 31, 32, 33, 34, 35, 36</t>
    <phoneticPr fontId="4" type="noConversion"/>
  </si>
  <si>
    <t>38, 39, 40, 41</t>
    <phoneticPr fontId="4" type="noConversion"/>
  </si>
  <si>
    <t>18, 21, 24, 25, 27</t>
    <phoneticPr fontId="4" type="noConversion"/>
  </si>
  <si>
    <t>1, 3, 6, 7, 13, 27, 33, 35, 37, 41, 43, 45, 47</t>
    <phoneticPr fontId="4" type="noConversion"/>
  </si>
  <si>
    <t>1, 3, 4, 10, 25, 27, 29, 31, 33, 35, 40, 41</t>
    <phoneticPr fontId="4" type="noConversion"/>
  </si>
  <si>
    <t>Average SS per team</t>
  </si>
  <si>
    <t>1500-1630</t>
  </si>
  <si>
    <t>0900-1030,  1330-1500</t>
  </si>
  <si>
    <t>1030-1200, 1330-1500</t>
  </si>
  <si>
    <r>
      <rPr>
        <sz val="36"/>
        <rFont val="微軟正黑體"/>
        <family val="2"/>
        <charset val="136"/>
      </rPr>
      <t>光劭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4PM YL FU</t>
    </r>
  </si>
  <si>
    <t>0900-1030, 1500-1630</t>
  </si>
  <si>
    <t>1030-1200</t>
  </si>
  <si>
    <t>0930-1030</t>
  </si>
  <si>
    <t xml:space="preserve">浩然  </t>
  </si>
  <si>
    <r>
      <rPr>
        <sz val="60"/>
        <rFont val="微軟正黑體"/>
        <family val="2"/>
        <charset val="136"/>
      </rPr>
      <t>君</t>
    </r>
    <r>
      <rPr>
        <sz val="60"/>
        <rFont val="Times New Roman"/>
        <family val="2"/>
        <charset val="136"/>
      </rPr>
      <t xml:space="preserve"> </t>
    </r>
  </si>
  <si>
    <r>
      <rPr>
        <sz val="60"/>
        <rFont val="微軟正黑體"/>
        <family val="2"/>
        <charset val="136"/>
      </rPr>
      <t>淑貞</t>
    </r>
    <r>
      <rPr>
        <sz val="60"/>
        <rFont val="Times New Roman"/>
        <family val="2"/>
        <charset val="136"/>
      </rPr>
      <t xml:space="preserve"> </t>
    </r>
  </si>
  <si>
    <t>0900-1030</t>
  </si>
  <si>
    <t>0900-1030, PM</t>
  </si>
  <si>
    <t>(0900-1000),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</si>
</sst>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0.00_ "/>
    <numFmt numFmtId="166" formatCode="0.00_);[Red]\(0.00\)"/>
    <numFmt numFmtId="167" formatCode="mm&quot;月&quot;dd&quot;日&quot;"/>
  </numFmts>
  <fonts count="119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</font>
    <font>
      <b/>
      <sz val="36"/>
      <color rgb="FFFFFFFF"/>
      <name val="Times New Roman"/>
      <family val="1"/>
    </font>
    <font>
      <sz val="9"/>
      <name val="Calibri"/>
      <family val="2"/>
      <charset val="136"/>
      <scheme val="minor"/>
    </font>
    <font>
      <b/>
      <sz val="36"/>
      <color theme="0"/>
      <name val="Times New Roman"/>
      <family val="1"/>
    </font>
    <font>
      <b/>
      <sz val="28"/>
      <color rgb="FFFFFFFF"/>
      <name val="Times New Roman"/>
      <family val="1"/>
    </font>
    <font>
      <sz val="28"/>
      <color theme="1"/>
      <name val="Times New Roman"/>
      <family val="1"/>
    </font>
    <font>
      <sz val="9"/>
      <name val="Calibri"/>
      <family val="3"/>
      <charset val="136"/>
      <scheme val="minor"/>
    </font>
    <font>
      <sz val="11"/>
      <color rgb="FF000000"/>
      <name val="新細明體"/>
      <family val="2"/>
      <charset val="136"/>
    </font>
    <font>
      <sz val="36"/>
      <name val="Times New Roman"/>
      <family val="1"/>
    </font>
    <font>
      <sz val="48"/>
      <color theme="1"/>
      <name val="Times New Roman"/>
      <family val="1"/>
    </font>
    <font>
      <sz val="48"/>
      <name val="Times New Roman"/>
      <family val="1"/>
    </font>
    <font>
      <sz val="36"/>
      <color theme="1"/>
      <name val="Calibri"/>
      <family val="1"/>
      <scheme val="minor"/>
    </font>
    <font>
      <sz val="36"/>
      <color rgb="FF000000"/>
      <name val="Times New Roman"/>
      <family val="1"/>
    </font>
    <font>
      <sz val="36"/>
      <color rgb="FFFF0000"/>
      <name val="Times New Roman"/>
      <family val="1"/>
    </font>
    <font>
      <sz val="36"/>
      <color rgb="FF000000"/>
      <name val="Calibri"/>
      <family val="1"/>
      <scheme val="minor"/>
    </font>
    <font>
      <sz val="36"/>
      <color theme="1"/>
      <name val="Times New Roman"/>
      <family val="1"/>
    </font>
    <font>
      <sz val="36"/>
      <color theme="1"/>
      <name val="Calibri Light"/>
      <family val="2"/>
      <charset val="136"/>
      <scheme val="major"/>
    </font>
    <font>
      <sz val="48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48"/>
      <color rgb="FFFF0000"/>
      <name val="Times New Roman"/>
      <family val="1"/>
    </font>
    <font>
      <i/>
      <sz val="36"/>
      <color rgb="FFFF0000"/>
      <name val="Times New Roman"/>
      <family val="1"/>
    </font>
    <font>
      <sz val="36"/>
      <name val="Malgun Gothic Semilight"/>
      <family val="2"/>
      <charset val="136"/>
    </font>
    <font>
      <sz val="48"/>
      <name val="Malgun Gothic Semilight"/>
      <family val="2"/>
      <charset val="136"/>
    </font>
    <font>
      <sz val="36"/>
      <name val="細明體"/>
      <family val="3"/>
      <charset val="136"/>
    </font>
    <font>
      <sz val="36"/>
      <color rgb="FF000000"/>
      <name val="細明體"/>
      <family val="3"/>
      <charset val="136"/>
    </font>
    <font>
      <b/>
      <sz val="28"/>
      <color theme="1"/>
      <name val="Times New Roman"/>
      <family val="1"/>
    </font>
    <font>
      <sz val="48"/>
      <color theme="1"/>
      <name val="MingLiU"/>
      <family val="3"/>
      <charset val="136"/>
    </font>
    <font>
      <sz val="48"/>
      <color theme="1"/>
      <name val="細明體"/>
      <family val="3"/>
      <charset val="136"/>
    </font>
    <font>
      <sz val="36"/>
      <color rgb="FF000000"/>
      <name val="Malgun Gothic Semilight"/>
      <family val="2"/>
      <charset val="136"/>
    </font>
    <font>
      <sz val="28"/>
      <name val="Times New Roman"/>
      <family val="1"/>
    </font>
    <font>
      <sz val="48"/>
      <color rgb="FFFF0000"/>
      <name val="Malgun Gothic Semilight"/>
      <family val="2"/>
      <charset val="136"/>
    </font>
    <font>
      <sz val="34"/>
      <color theme="1"/>
      <name val="Times New Roman"/>
      <family val="1"/>
    </font>
    <font>
      <sz val="48"/>
      <color rgb="FF000000"/>
      <name val="Times New Roman"/>
      <family val="1"/>
    </font>
    <font>
      <b/>
      <sz val="48"/>
      <color rgb="FFC00000"/>
      <name val="Times New Roman"/>
      <family val="1"/>
    </font>
    <font>
      <sz val="34"/>
      <name val="Times New Roman"/>
      <family val="1"/>
    </font>
    <font>
      <b/>
      <sz val="36"/>
      <name val="Times New Roman"/>
      <family val="1"/>
    </font>
    <font>
      <b/>
      <sz val="60"/>
      <color rgb="FFFF0000"/>
      <name val="Times New Roman"/>
      <family val="1"/>
    </font>
    <font>
      <sz val="34"/>
      <name val="新細明體"/>
      <family val="2"/>
      <charset val="136"/>
    </font>
    <font>
      <sz val="34"/>
      <color theme="1"/>
      <name val="新細明體"/>
      <family val="2"/>
      <charset val="136"/>
    </font>
    <font>
      <sz val="28"/>
      <color rgb="FF000000"/>
      <name val="Times New Roman"/>
      <family val="1"/>
    </font>
    <font>
      <sz val="28"/>
      <color rgb="FF7030A0"/>
      <name val="Times New Roman"/>
      <family val="1"/>
    </font>
    <font>
      <sz val="28"/>
      <color theme="1"/>
      <name val="細明體"/>
      <family val="3"/>
      <charset val="136"/>
    </font>
    <font>
      <sz val="28"/>
      <color rgb="FFFFFFFF"/>
      <name val="Times New Roman"/>
      <family val="1"/>
    </font>
    <font>
      <b/>
      <sz val="28"/>
      <color rgb="FFC00000"/>
      <name val="Times New Roman"/>
      <family val="1"/>
    </font>
    <font>
      <b/>
      <sz val="28"/>
      <color rgb="FF000000"/>
      <name val="Times New Roman"/>
      <family val="1"/>
    </font>
    <font>
      <sz val="28"/>
      <color rgb="FFFF0000"/>
      <name val="Times New Roman"/>
      <family val="1"/>
    </font>
    <font>
      <b/>
      <sz val="28"/>
      <color rgb="FFFF0000"/>
      <name val="Times New Roman"/>
      <family val="1"/>
    </font>
    <font>
      <b/>
      <sz val="28"/>
      <color theme="5"/>
      <name val="Times New Roman"/>
      <family val="1"/>
    </font>
    <font>
      <b/>
      <sz val="28"/>
      <name val="Times New Roman"/>
      <family val="1"/>
    </font>
    <font>
      <sz val="28"/>
      <color rgb="FF00B0F0"/>
      <name val="Times New Roman"/>
      <family val="1"/>
    </font>
    <font>
      <sz val="48"/>
      <color theme="1"/>
      <name val="Calibri"/>
      <family val="2"/>
      <charset val="136"/>
      <scheme val="minor"/>
    </font>
    <font>
      <sz val="36"/>
      <color theme="1"/>
      <name val="Calibri"/>
      <family val="2"/>
      <charset val="136"/>
      <scheme val="minor"/>
    </font>
    <font>
      <sz val="48"/>
      <color theme="1"/>
      <name val="Malgun Gothic Semilight"/>
      <family val="2"/>
      <charset val="136"/>
    </font>
    <font>
      <sz val="36"/>
      <color theme="1"/>
      <name val="Malgun Gothic Semilight"/>
      <family val="2"/>
      <charset val="136"/>
    </font>
    <font>
      <sz val="48"/>
      <color rgb="FF000000"/>
      <name val="細明體"/>
      <family val="3"/>
      <charset val="136"/>
    </font>
    <font>
      <sz val="28"/>
      <color rgb="FF212529"/>
      <name val="Open Sans"/>
      <charset val="1"/>
    </font>
    <font>
      <sz val="36"/>
      <color rgb="FF242424"/>
      <name val="Aptos Narrow"/>
      <family val="1"/>
      <charset val="136"/>
    </font>
    <font>
      <sz val="26"/>
      <color rgb="FF212529"/>
      <name val="Open Sans"/>
      <family val="1"/>
      <charset val="136"/>
    </font>
    <font>
      <sz val="36"/>
      <color rgb="FFFF0000"/>
      <name val="Malgun Gothic Semilight"/>
      <family val="2"/>
      <charset val="136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color rgb="FF212529"/>
      <name val="Times New Roman"/>
      <family val="1"/>
    </font>
    <font>
      <sz val="48"/>
      <color theme="1"/>
      <name val="微軟正黑體"/>
      <family val="2"/>
      <charset val="136"/>
    </font>
    <font>
      <sz val="48"/>
      <color rgb="FFFF0000"/>
      <name val="微軟正黑體"/>
      <family val="2"/>
      <charset val="136"/>
    </font>
    <font>
      <sz val="36"/>
      <color theme="1"/>
      <name val="微軟正黑體"/>
      <family val="2"/>
      <charset val="136"/>
    </font>
    <font>
      <sz val="36"/>
      <name val="Times New Roman"/>
      <family val="2"/>
      <charset val="136"/>
    </font>
    <font>
      <sz val="48"/>
      <name val="Times New Roman"/>
      <family val="2"/>
      <charset val="136"/>
    </font>
    <font>
      <sz val="48"/>
      <color rgb="FFFF0000"/>
      <name val="Times New Roman"/>
      <family val="2"/>
      <charset val="136"/>
    </font>
    <font>
      <sz val="36"/>
      <name val="微軟正黑體"/>
      <family val="1"/>
      <charset val="136"/>
    </font>
    <font>
      <sz val="36"/>
      <name val="Times New Roman"/>
      <family val="2"/>
    </font>
    <font>
      <sz val="48"/>
      <name val="細明體"/>
      <family val="3"/>
      <charset val="136"/>
    </font>
    <font>
      <sz val="48"/>
      <color theme="1"/>
      <name val="微軟正黑體"/>
      <family val="1"/>
      <charset val="136"/>
    </font>
    <font>
      <sz val="48"/>
      <color theme="1"/>
      <name val="Times New Roman"/>
      <family val="1"/>
      <charset val="136"/>
    </font>
    <font>
      <sz val="48"/>
      <name val="微軟正黑體"/>
      <family val="1"/>
      <charset val="136"/>
    </font>
    <font>
      <sz val="60"/>
      <color theme="1"/>
      <name val="Times New Roman"/>
      <family val="1"/>
    </font>
    <font>
      <sz val="60"/>
      <name val="Times New Roman"/>
      <family val="1"/>
    </font>
    <font>
      <sz val="60"/>
      <color rgb="FFFF0000"/>
      <name val="Times New Roman"/>
      <family val="1"/>
    </font>
    <font>
      <sz val="60"/>
      <name val="Malgun Gothic Semilight"/>
      <family val="2"/>
      <charset val="136"/>
    </font>
    <font>
      <sz val="60"/>
      <name val="微軟正黑體"/>
      <family val="2"/>
      <charset val="136"/>
    </font>
    <font>
      <sz val="60"/>
      <name val="Times New Roman"/>
      <family val="2"/>
      <charset val="136"/>
    </font>
    <font>
      <sz val="60"/>
      <name val="細明體"/>
      <family val="3"/>
      <charset val="136"/>
    </font>
    <font>
      <sz val="60"/>
      <color theme="1"/>
      <name val="微軟正黑體"/>
      <family val="2"/>
      <charset val="136"/>
    </font>
    <font>
      <sz val="60"/>
      <color theme="1"/>
      <name val="微軟正黑體"/>
      <family val="1"/>
      <charset val="136"/>
    </font>
    <font>
      <sz val="60"/>
      <color theme="1"/>
      <name val="Times New Roman"/>
      <family val="1"/>
      <charset val="136"/>
    </font>
    <font>
      <sz val="60"/>
      <color theme="1"/>
      <name val="Malgun Gothic Semilight"/>
      <family val="2"/>
      <charset val="136"/>
    </font>
    <font>
      <sz val="60"/>
      <color theme="1"/>
      <name val="MingLiU"/>
      <family val="3"/>
      <charset val="136"/>
    </font>
    <font>
      <sz val="60"/>
      <color rgb="FF000000"/>
      <name val="Times New Roman"/>
      <family val="1"/>
    </font>
    <font>
      <sz val="60"/>
      <color rgb="FFFF0000"/>
      <name val="微軟正黑體"/>
      <family val="2"/>
      <charset val="136"/>
    </font>
    <font>
      <sz val="60"/>
      <color rgb="FFFF0000"/>
      <name val="Times New Roman"/>
      <family val="2"/>
      <charset val="136"/>
    </font>
    <font>
      <sz val="55"/>
      <color theme="1"/>
      <name val="Times New Roman"/>
      <family val="1"/>
    </font>
    <font>
      <sz val="55"/>
      <name val="Times New Roman"/>
      <family val="1"/>
    </font>
    <font>
      <sz val="60"/>
      <color rgb="FFFF0000"/>
      <name val="Malgun Gothic Semilight"/>
      <family val="2"/>
      <charset val="136"/>
    </font>
    <font>
      <sz val="60"/>
      <name val="微軟正黑體"/>
      <family val="1"/>
      <charset val="136"/>
    </font>
    <font>
      <sz val="72"/>
      <color theme="1"/>
      <name val="Times New Roman"/>
      <family val="1"/>
    </font>
    <font>
      <sz val="60"/>
      <name val="細明體"/>
      <family val="2"/>
      <charset val="136"/>
    </font>
    <font>
      <sz val="45"/>
      <color theme="1"/>
      <name val="Times New Roman"/>
      <family val="1"/>
    </font>
    <font>
      <sz val="60"/>
      <color rgb="FFFF0000"/>
      <name val="細明體"/>
      <family val="3"/>
      <charset val="136"/>
    </font>
    <font>
      <sz val="60"/>
      <color theme="1"/>
      <name val="細明體"/>
      <family val="3"/>
      <charset val="136"/>
    </font>
    <font>
      <sz val="26"/>
      <color theme="1"/>
      <name val="Times New Roman"/>
      <family val="1"/>
    </font>
    <font>
      <sz val="55"/>
      <name val="Malgun Gothic Semilight"/>
      <family val="2"/>
      <charset val="136"/>
    </font>
    <font>
      <sz val="55"/>
      <name val="微軟正黑體"/>
      <family val="2"/>
      <charset val="136"/>
    </font>
    <font>
      <sz val="55"/>
      <color theme="1"/>
      <name val="微軟正黑體"/>
      <family val="2"/>
      <charset val="136"/>
    </font>
    <font>
      <sz val="55"/>
      <name val="細明體"/>
      <family val="3"/>
      <charset val="136"/>
    </font>
    <font>
      <sz val="55"/>
      <name val="Times New Roman"/>
      <family val="2"/>
      <charset val="136"/>
    </font>
    <font>
      <sz val="55"/>
      <color theme="1"/>
      <name val="Malgun Gothic Semilight"/>
      <family val="2"/>
      <charset val="136"/>
    </font>
    <font>
      <sz val="55"/>
      <color rgb="FFFF0000"/>
      <name val="微軟正黑體"/>
      <family val="2"/>
      <charset val="136"/>
    </font>
    <font>
      <sz val="55"/>
      <color theme="1"/>
      <name val="細明體"/>
      <family val="3"/>
      <charset val="136"/>
    </font>
    <font>
      <sz val="55"/>
      <color rgb="FF212529"/>
      <name val="Times New Roman"/>
      <family val="1"/>
    </font>
    <font>
      <sz val="55"/>
      <color rgb="FF000000"/>
      <name val="Times New Roman"/>
      <family val="1"/>
    </font>
    <font>
      <sz val="36"/>
      <color rgb="FF212529"/>
      <name val="Open Sans"/>
      <family val="2"/>
    </font>
    <font>
      <sz val="24"/>
      <color theme="1"/>
      <name val="微軟正黑體"/>
      <family val="2"/>
      <charset val="136"/>
    </font>
    <font>
      <sz val="55"/>
      <color theme="1"/>
      <name val="微軟正黑體"/>
      <family val="1"/>
      <charset val="136"/>
    </font>
    <font>
      <sz val="55"/>
      <name val="微軟正黑體"/>
      <family val="1"/>
      <charset val="136"/>
    </font>
    <font>
      <sz val="55"/>
      <name val="Times New Roman"/>
      <family val="1"/>
      <charset val="136"/>
    </font>
    <font>
      <b/>
      <sz val="55"/>
      <color theme="1"/>
      <name val="微軟正黑體"/>
      <family val="2"/>
      <charset val="136"/>
    </font>
    <font>
      <sz val="60"/>
      <color rgb="FF000000"/>
      <name val="微軟正黑體"/>
      <family val="2"/>
      <charset val="136"/>
    </font>
  </fonts>
  <fills count="28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00CCFF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8EDEC"/>
        <bgColor rgb="FF000000"/>
      </patternFill>
    </fill>
    <fill>
      <patternFill patternType="solid">
        <fgColor rgb="FFB7DEE8"/>
        <bgColor rgb="FFFFFFFF"/>
      </patternFill>
    </fill>
    <fill>
      <patternFill patternType="solid">
        <fgColor rgb="FFFDE9D9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 style="medium">
        <color rgb="FFC00000"/>
      </bottom>
      <diagonal/>
    </border>
    <border>
      <left/>
      <right style="thin">
        <color indexed="64"/>
      </right>
      <top/>
      <bottom style="medium">
        <color rgb="FFC00000"/>
      </bottom>
      <diagonal/>
    </border>
    <border>
      <left style="medium">
        <color rgb="FFC00000"/>
      </left>
      <right style="thin">
        <color auto="1"/>
      </right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thin">
        <color auto="1"/>
      </right>
      <top style="medium">
        <color rgb="FFC00000"/>
      </top>
      <bottom style="medium">
        <color rgb="FFC00000"/>
      </bottom>
      <diagonal/>
    </border>
    <border>
      <left style="thin">
        <color auto="1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21" fillId="0" borderId="0"/>
    <xf numFmtId="0" fontId="21" fillId="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699">
    <xf numFmtId="0" fontId="0" fillId="0" borderId="0" xfId="0">
      <alignment vertical="center"/>
    </xf>
    <xf numFmtId="0" fontId="3" fillId="5" borderId="0" xfId="1" applyFont="1" applyFill="1" applyAlignment="1">
      <alignment vertical="center" wrapText="1"/>
    </xf>
    <xf numFmtId="164" fontId="5" fillId="5" borderId="0" xfId="1" applyNumberFormat="1" applyFont="1" applyFill="1" applyAlignment="1">
      <alignment horizontal="left" vertical="center" wrapText="1"/>
    </xf>
    <xf numFmtId="164" fontId="3" fillId="5" borderId="0" xfId="1" applyNumberFormat="1" applyFont="1" applyFill="1" applyAlignment="1">
      <alignment horizontal="left" vertical="center" wrapText="1"/>
    </xf>
    <xf numFmtId="0" fontId="3" fillId="5" borderId="0" xfId="1" applyFont="1" applyFill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6" fillId="5" borderId="0" xfId="1" applyFont="1" applyFill="1" applyAlignment="1">
      <alignment vertical="center" wrapText="1"/>
    </xf>
    <xf numFmtId="0" fontId="6" fillId="5" borderId="2" xfId="1" applyFont="1" applyFill="1" applyBorder="1" applyAlignment="1">
      <alignment vertical="center" wrapText="1"/>
    </xf>
    <xf numFmtId="0" fontId="7" fillId="0" borderId="0" xfId="2" applyFont="1">
      <alignment vertical="center"/>
    </xf>
    <xf numFmtId="165" fontId="7" fillId="0" borderId="0" xfId="2" applyNumberFormat="1" applyFont="1">
      <alignment vertical="center"/>
    </xf>
    <xf numFmtId="0" fontId="3" fillId="6" borderId="3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0" fontId="3" fillId="7" borderId="6" xfId="1" applyFont="1" applyFill="1" applyBorder="1" applyAlignment="1">
      <alignment horizontal="center" vertical="center" wrapText="1"/>
    </xf>
    <xf numFmtId="14" fontId="3" fillId="6" borderId="0" xfId="1" applyNumberFormat="1" applyFont="1" applyFill="1" applyAlignment="1">
      <alignment horizontal="center" vertical="center" wrapText="1"/>
    </xf>
    <xf numFmtId="0" fontId="3" fillId="6" borderId="7" xfId="1" applyFont="1" applyFill="1" applyBorder="1" applyAlignment="1">
      <alignment horizontal="center" vertical="center" wrapText="1"/>
    </xf>
    <xf numFmtId="0" fontId="10" fillId="8" borderId="2" xfId="1" applyFont="1" applyFill="1" applyBorder="1" applyAlignment="1">
      <alignment horizontal="center" vertical="center" wrapText="1"/>
    </xf>
    <xf numFmtId="0" fontId="11" fillId="0" borderId="0" xfId="2" applyFont="1">
      <alignment vertical="center"/>
    </xf>
    <xf numFmtId="0" fontId="11" fillId="0" borderId="0" xfId="2" applyFont="1" applyAlignment="1">
      <alignment horizontal="right" vertical="center" wrapText="1"/>
    </xf>
    <xf numFmtId="0" fontId="11" fillId="0" borderId="8" xfId="2" applyFont="1" applyBorder="1">
      <alignment vertical="center"/>
    </xf>
    <xf numFmtId="0" fontId="12" fillId="0" borderId="9" xfId="1" applyFont="1" applyBorder="1" applyAlignment="1">
      <alignment horizontal="right" vertical="center" wrapText="1"/>
    </xf>
    <xf numFmtId="0" fontId="11" fillId="0" borderId="1" xfId="2" applyFont="1" applyBorder="1">
      <alignment vertical="center"/>
    </xf>
    <xf numFmtId="0" fontId="12" fillId="0" borderId="2" xfId="1" applyFont="1" applyBorder="1" applyAlignment="1">
      <alignment horizontal="right" vertical="center" wrapText="1"/>
    </xf>
    <xf numFmtId="0" fontId="11" fillId="0" borderId="0" xfId="2" applyFont="1" applyAlignment="1">
      <alignment horizontal="right" vertical="center"/>
    </xf>
    <xf numFmtId="20" fontId="10" fillId="9" borderId="8" xfId="1" applyNumberFormat="1" applyFont="1" applyFill="1" applyBorder="1" applyAlignment="1">
      <alignment horizontal="left" vertical="center" wrapText="1"/>
    </xf>
    <xf numFmtId="20" fontId="10" fillId="9" borderId="0" xfId="1" applyNumberFormat="1" applyFont="1" applyFill="1" applyAlignment="1">
      <alignment horizontal="left" vertical="center" wrapText="1"/>
    </xf>
    <xf numFmtId="0" fontId="10" fillId="9" borderId="10" xfId="1" applyFont="1" applyFill="1" applyBorder="1" applyAlignment="1">
      <alignment horizontal="left" vertical="center" wrapText="1"/>
    </xf>
    <xf numFmtId="0" fontId="14" fillId="9" borderId="10" xfId="1" applyFont="1" applyFill="1" applyBorder="1" applyAlignment="1">
      <alignment horizontal="left" vertical="center" wrapText="1"/>
    </xf>
    <xf numFmtId="0" fontId="15" fillId="8" borderId="0" xfId="1" applyFont="1" applyFill="1" applyAlignment="1">
      <alignment horizontal="center" vertical="center" wrapText="1"/>
    </xf>
    <xf numFmtId="0" fontId="12" fillId="9" borderId="0" xfId="1" applyFont="1" applyFill="1" applyAlignment="1">
      <alignment horizontal="right" vertical="center" wrapText="1"/>
    </xf>
    <xf numFmtId="0" fontId="16" fillId="0" borderId="1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4" fillId="9" borderId="1" xfId="1" applyFont="1" applyFill="1" applyBorder="1" applyAlignment="1">
      <alignment vertical="center" wrapText="1"/>
    </xf>
    <xf numFmtId="0" fontId="17" fillId="0" borderId="2" xfId="2" applyFont="1" applyBorder="1">
      <alignment vertical="center"/>
    </xf>
    <xf numFmtId="0" fontId="14" fillId="9" borderId="7" xfId="1" applyFont="1" applyFill="1" applyBorder="1" applyAlignment="1">
      <alignment horizontal="left" vertical="center" wrapText="1"/>
    </xf>
    <xf numFmtId="16" fontId="7" fillId="0" borderId="0" xfId="2" applyNumberFormat="1" applyFont="1">
      <alignment vertical="center"/>
    </xf>
    <xf numFmtId="0" fontId="14" fillId="8" borderId="0" xfId="1" applyFont="1" applyFill="1" applyAlignment="1">
      <alignment horizontal="center" vertical="center" wrapText="1"/>
    </xf>
    <xf numFmtId="0" fontId="18" fillId="0" borderId="1" xfId="1" applyFont="1" applyBorder="1" applyAlignment="1">
      <alignment horizontal="left" vertical="center" wrapText="1"/>
    </xf>
    <xf numFmtId="0" fontId="13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13" fillId="0" borderId="0" xfId="2" applyFont="1" applyAlignment="1">
      <alignment horizontal="left" vertical="center"/>
    </xf>
    <xf numFmtId="0" fontId="14" fillId="9" borderId="2" xfId="1" applyFont="1" applyFill="1" applyBorder="1" applyAlignment="1">
      <alignment horizontal="left" vertical="center" wrapText="1"/>
    </xf>
    <xf numFmtId="0" fontId="7" fillId="0" borderId="1" xfId="2" applyFont="1" applyBorder="1">
      <alignment vertical="center"/>
    </xf>
    <xf numFmtId="0" fontId="19" fillId="10" borderId="1" xfId="0" applyFont="1" applyFill="1" applyBorder="1" applyAlignment="1">
      <alignment vertical="top" wrapText="1"/>
    </xf>
    <xf numFmtId="0" fontId="20" fillId="0" borderId="0" xfId="0" applyFont="1" applyAlignment="1">
      <alignment vertical="top"/>
    </xf>
    <xf numFmtId="0" fontId="17" fillId="0" borderId="0" xfId="2" applyFont="1">
      <alignment vertical="center"/>
    </xf>
    <xf numFmtId="0" fontId="17" fillId="0" borderId="0" xfId="2" applyFont="1" applyAlignment="1">
      <alignment horizontal="left" vertical="center"/>
    </xf>
    <xf numFmtId="0" fontId="14" fillId="8" borderId="2" xfId="1" applyFont="1" applyFill="1" applyBorder="1" applyAlignment="1">
      <alignment horizontal="center" vertical="center" wrapText="1"/>
    </xf>
    <xf numFmtId="0" fontId="11" fillId="0" borderId="2" xfId="2" applyFont="1" applyBorder="1" applyAlignment="1">
      <alignment horizontal="right" vertical="center"/>
    </xf>
    <xf numFmtId="0" fontId="11" fillId="0" borderId="2" xfId="2" applyFont="1" applyBorder="1" applyAlignment="1">
      <alignment horizontal="right" vertical="center" wrapText="1"/>
    </xf>
    <xf numFmtId="165" fontId="11" fillId="0" borderId="1" xfId="2" applyNumberFormat="1" applyFont="1" applyBorder="1" applyAlignment="1">
      <alignment horizontal="left" vertical="center"/>
    </xf>
    <xf numFmtId="0" fontId="10" fillId="11" borderId="0" xfId="1" applyFont="1" applyFill="1" applyAlignment="1">
      <alignment horizontal="left" vertical="center" wrapText="1"/>
    </xf>
    <xf numFmtId="0" fontId="11" fillId="0" borderId="1" xfId="2" applyFont="1" applyBorder="1" applyAlignment="1">
      <alignment vertical="center" wrapText="1"/>
    </xf>
    <xf numFmtId="0" fontId="12" fillId="0" borderId="2" xfId="1" applyFont="1" applyBorder="1" applyAlignment="1">
      <alignment horizontal="left" vertical="center" wrapText="1"/>
    </xf>
    <xf numFmtId="20" fontId="10" fillId="9" borderId="1" xfId="1" applyNumberFormat="1" applyFont="1" applyFill="1" applyBorder="1" applyAlignment="1">
      <alignment horizontal="left" vertical="center" wrapText="1"/>
    </xf>
    <xf numFmtId="0" fontId="12" fillId="9" borderId="1" xfId="1" applyFont="1" applyFill="1" applyBorder="1" applyAlignment="1">
      <alignment horizontal="left" vertical="center" wrapText="1"/>
    </xf>
    <xf numFmtId="0" fontId="12" fillId="12" borderId="2" xfId="1" applyFont="1" applyFill="1" applyBorder="1" applyAlignment="1">
      <alignment horizontal="right" vertical="center" wrapText="1"/>
    </xf>
    <xf numFmtId="0" fontId="12" fillId="9" borderId="1" xfId="1" applyFont="1" applyFill="1" applyBorder="1" applyAlignment="1">
      <alignment horizontal="right" vertical="center" wrapText="1"/>
    </xf>
    <xf numFmtId="0" fontId="12" fillId="12" borderId="0" xfId="1" applyFont="1" applyFill="1" applyAlignment="1">
      <alignment horizontal="right" vertical="center" wrapText="1"/>
    </xf>
    <xf numFmtId="0" fontId="12" fillId="9" borderId="1" xfId="3" applyFont="1" applyFill="1" applyBorder="1" applyAlignment="1">
      <alignment horizontal="right" vertical="center" wrapText="1"/>
    </xf>
    <xf numFmtId="0" fontId="12" fillId="11" borderId="0" xfId="1" applyFont="1" applyFill="1" applyAlignment="1">
      <alignment horizontal="right" vertical="center" wrapText="1"/>
    </xf>
    <xf numFmtId="0" fontId="12" fillId="13" borderId="2" xfId="1" applyFont="1" applyFill="1" applyBorder="1" applyAlignment="1">
      <alignment horizontal="right" vertical="center" wrapText="1"/>
    </xf>
    <xf numFmtId="0" fontId="10" fillId="11" borderId="0" xfId="2" applyFont="1" applyFill="1">
      <alignment vertical="center"/>
    </xf>
    <xf numFmtId="0" fontId="10" fillId="11" borderId="0" xfId="1" applyFont="1" applyFill="1" applyAlignment="1">
      <alignment horizontal="right" vertical="center" wrapText="1"/>
    </xf>
    <xf numFmtId="0" fontId="14" fillId="9" borderId="1" xfId="1" applyFont="1" applyFill="1" applyBorder="1" applyAlignment="1">
      <alignment horizontal="left" vertical="center" wrapText="1"/>
    </xf>
    <xf numFmtId="0" fontId="22" fillId="11" borderId="1" xfId="1" applyFont="1" applyFill="1" applyBorder="1" applyAlignment="1">
      <alignment horizontal="center" vertical="center" wrapText="1"/>
    </xf>
    <xf numFmtId="0" fontId="22" fillId="11" borderId="2" xfId="1" applyFont="1" applyFill="1" applyBorder="1" applyAlignment="1">
      <alignment horizontal="right" vertical="center" wrapText="1"/>
    </xf>
    <xf numFmtId="0" fontId="12" fillId="11" borderId="1" xfId="1" applyFont="1" applyFill="1" applyBorder="1" applyAlignment="1">
      <alignment horizontal="right" vertical="center" wrapText="1"/>
    </xf>
    <xf numFmtId="0" fontId="11" fillId="11" borderId="1" xfId="2" applyFont="1" applyFill="1" applyBorder="1">
      <alignment vertical="center"/>
    </xf>
    <xf numFmtId="0" fontId="12" fillId="9" borderId="0" xfId="1" applyFont="1" applyFill="1" applyAlignment="1">
      <alignment horizontal="left" vertical="center" wrapText="1"/>
    </xf>
    <xf numFmtId="0" fontId="12" fillId="11" borderId="1" xfId="3" applyFont="1" applyFill="1" applyBorder="1" applyAlignment="1">
      <alignment horizontal="right" vertical="center" wrapText="1"/>
    </xf>
    <xf numFmtId="0" fontId="12" fillId="11" borderId="2" xfId="1" applyFont="1" applyFill="1" applyBorder="1" applyAlignment="1">
      <alignment horizontal="right" vertical="center" wrapText="1"/>
    </xf>
    <xf numFmtId="0" fontId="22" fillId="11" borderId="0" xfId="1" applyFont="1" applyFill="1" applyAlignment="1">
      <alignment horizontal="center" vertical="center" wrapText="1"/>
    </xf>
    <xf numFmtId="0" fontId="22" fillId="11" borderId="2" xfId="1" applyFont="1" applyFill="1" applyBorder="1" applyAlignment="1">
      <alignment horizontal="center" vertical="center"/>
    </xf>
    <xf numFmtId="165" fontId="17" fillId="0" borderId="0" xfId="2" applyNumberFormat="1" applyFont="1" applyAlignment="1">
      <alignment horizontal="right" vertical="center"/>
    </xf>
    <xf numFmtId="0" fontId="10" fillId="0" borderId="0" xfId="1" applyFont="1" applyAlignment="1">
      <alignment horizontal="right" vertical="center" wrapText="1"/>
    </xf>
    <xf numFmtId="0" fontId="23" fillId="8" borderId="11" xfId="1" applyFont="1" applyFill="1" applyBorder="1" applyAlignment="1">
      <alignment horizontal="right" vertical="center" wrapText="1"/>
    </xf>
    <xf numFmtId="0" fontId="22" fillId="9" borderId="1" xfId="1" applyFont="1" applyFill="1" applyBorder="1" applyAlignment="1">
      <alignment horizontal="center" vertical="center" wrapText="1"/>
    </xf>
    <xf numFmtId="0" fontId="22" fillId="9" borderId="2" xfId="1" applyFont="1" applyFill="1" applyBorder="1" applyAlignment="1">
      <alignment horizontal="right" vertical="center" wrapText="1"/>
    </xf>
    <xf numFmtId="0" fontId="11" fillId="11" borderId="4" xfId="2" applyFont="1" applyFill="1" applyBorder="1" applyAlignment="1">
      <alignment vertical="center" wrapText="1"/>
    </xf>
    <xf numFmtId="0" fontId="11" fillId="11" borderId="2" xfId="2" applyFont="1" applyFill="1" applyBorder="1" applyAlignment="1">
      <alignment horizontal="right" vertical="center"/>
    </xf>
    <xf numFmtId="0" fontId="22" fillId="9" borderId="4" xfId="1" applyFont="1" applyFill="1" applyBorder="1" applyAlignment="1">
      <alignment horizontal="left" vertical="center" wrapText="1"/>
    </xf>
    <xf numFmtId="0" fontId="22" fillId="9" borderId="0" xfId="1" applyFont="1" applyFill="1" applyAlignment="1">
      <alignment horizontal="right" vertical="center" wrapText="1"/>
    </xf>
    <xf numFmtId="0" fontId="22" fillId="0" borderId="1" xfId="1" applyFont="1" applyBorder="1" applyAlignment="1">
      <alignment horizontal="left" vertical="center" wrapText="1"/>
    </xf>
    <xf numFmtId="0" fontId="22" fillId="0" borderId="2" xfId="1" applyFont="1" applyBorder="1" applyAlignment="1">
      <alignment horizontal="right" vertical="center" wrapText="1"/>
    </xf>
    <xf numFmtId="0" fontId="22" fillId="0" borderId="2" xfId="2" applyFont="1" applyBorder="1">
      <alignment vertical="center"/>
    </xf>
    <xf numFmtId="0" fontId="22" fillId="0" borderId="2" xfId="1" applyFont="1" applyBorder="1" applyAlignment="1">
      <alignment vertical="center" wrapText="1"/>
    </xf>
    <xf numFmtId="0" fontId="22" fillId="9" borderId="1" xfId="1" applyFont="1" applyFill="1" applyBorder="1" applyAlignment="1">
      <alignment horizontal="left" vertical="center" wrapText="1"/>
    </xf>
    <xf numFmtId="0" fontId="24" fillId="14" borderId="0" xfId="1" applyFont="1" applyFill="1" applyAlignment="1">
      <alignment horizontal="left" vertical="center" wrapText="1"/>
    </xf>
    <xf numFmtId="0" fontId="10" fillId="0" borderId="0" xfId="2" applyFont="1" applyAlignment="1">
      <alignment vertical="center" wrapText="1"/>
    </xf>
    <xf numFmtId="0" fontId="14" fillId="9" borderId="12" xfId="1" applyFont="1" applyFill="1" applyBorder="1" applyAlignment="1">
      <alignment horizontal="left" vertical="center" wrapText="1"/>
    </xf>
    <xf numFmtId="165" fontId="7" fillId="0" borderId="1" xfId="2" applyNumberFormat="1" applyFont="1" applyBorder="1" applyAlignment="1">
      <alignment horizontal="left" vertical="center"/>
    </xf>
    <xf numFmtId="0" fontId="10" fillId="8" borderId="0" xfId="1" applyFont="1" applyFill="1" applyAlignment="1">
      <alignment horizontal="center" vertical="center" wrapText="1"/>
    </xf>
    <xf numFmtId="0" fontId="25" fillId="0" borderId="8" xfId="1" applyFont="1" applyBorder="1" applyAlignment="1">
      <alignment horizontal="left" vertical="center" wrapText="1"/>
    </xf>
    <xf numFmtId="0" fontId="11" fillId="0" borderId="13" xfId="2" applyFont="1" applyBorder="1" applyAlignment="1">
      <alignment vertical="center" wrapText="1"/>
    </xf>
    <xf numFmtId="0" fontId="25" fillId="0" borderId="1" xfId="1" applyFont="1" applyBorder="1" applyAlignment="1">
      <alignment horizontal="left" vertical="center" wrapText="1"/>
    </xf>
    <xf numFmtId="0" fontId="11" fillId="0" borderId="9" xfId="2" applyFont="1" applyBorder="1" applyAlignment="1">
      <alignment vertical="center" wrapText="1"/>
    </xf>
    <xf numFmtId="0" fontId="10" fillId="0" borderId="0" xfId="0" applyFont="1">
      <alignment vertical="center"/>
    </xf>
    <xf numFmtId="20" fontId="26" fillId="9" borderId="14" xfId="1" applyNumberFormat="1" applyFont="1" applyFill="1" applyBorder="1" applyAlignment="1">
      <alignment horizontal="left" vertical="center" wrapText="1"/>
    </xf>
    <xf numFmtId="0" fontId="27" fillId="9" borderId="15" xfId="1" applyFont="1" applyFill="1" applyBorder="1" applyAlignment="1">
      <alignment horizontal="left" vertical="center" wrapText="1"/>
    </xf>
    <xf numFmtId="165" fontId="28" fillId="0" borderId="0" xfId="2" applyNumberFormat="1" applyFont="1">
      <alignment vertical="center"/>
    </xf>
    <xf numFmtId="165" fontId="7" fillId="11" borderId="1" xfId="2" applyNumberFormat="1" applyFont="1" applyFill="1" applyBorder="1" applyAlignment="1">
      <alignment horizontal="left" vertical="center"/>
    </xf>
    <xf numFmtId="0" fontId="29" fillId="0" borderId="1" xfId="2" applyFont="1" applyBorder="1">
      <alignment vertical="center"/>
    </xf>
    <xf numFmtId="0" fontId="11" fillId="0" borderId="0" xfId="2" applyFont="1" applyAlignment="1">
      <alignment vertical="center" wrapText="1"/>
    </xf>
    <xf numFmtId="0" fontId="30" fillId="0" borderId="1" xfId="2" applyFont="1" applyBorder="1">
      <alignment vertical="center"/>
    </xf>
    <xf numFmtId="0" fontId="24" fillId="14" borderId="1" xfId="1" applyFont="1" applyFill="1" applyBorder="1" applyAlignment="1">
      <alignment horizontal="left" vertical="center" wrapText="1"/>
    </xf>
    <xf numFmtId="20" fontId="10" fillId="0" borderId="1" xfId="1" applyNumberFormat="1" applyFont="1" applyBorder="1" applyAlignment="1">
      <alignment horizontal="left" vertical="center" wrapText="1"/>
    </xf>
    <xf numFmtId="0" fontId="31" fillId="9" borderId="2" xfId="1" applyFont="1" applyFill="1" applyBorder="1" applyAlignment="1">
      <alignment horizontal="left" vertical="center" wrapText="1"/>
    </xf>
    <xf numFmtId="0" fontId="7" fillId="0" borderId="0" xfId="2" applyFont="1" applyAlignment="1">
      <alignment vertical="center" wrapText="1"/>
    </xf>
    <xf numFmtId="165" fontId="32" fillId="0" borderId="0" xfId="1" applyNumberFormat="1" applyFont="1" applyAlignment="1">
      <alignment horizontal="right" vertical="center"/>
    </xf>
    <xf numFmtId="165" fontId="7" fillId="0" borderId="0" xfId="1" applyNumberFormat="1" applyFont="1" applyAlignment="1">
      <alignment vertical="center"/>
    </xf>
    <xf numFmtId="0" fontId="32" fillId="0" borderId="0" xfId="2" applyFont="1">
      <alignment vertical="center"/>
    </xf>
    <xf numFmtId="0" fontId="31" fillId="0" borderId="1" xfId="1" applyFont="1" applyBorder="1" applyAlignment="1">
      <alignment vertical="center" wrapText="1"/>
    </xf>
    <xf numFmtId="20" fontId="14" fillId="9" borderId="2" xfId="1" applyNumberFormat="1" applyFont="1" applyFill="1" applyBorder="1" applyAlignment="1">
      <alignment horizontal="left" vertical="center" wrapText="1"/>
    </xf>
    <xf numFmtId="165" fontId="7" fillId="11" borderId="0" xfId="2" applyNumberFormat="1" applyFont="1" applyFill="1">
      <alignment vertical="center"/>
    </xf>
    <xf numFmtId="165" fontId="32" fillId="0" borderId="0" xfId="1" applyNumberFormat="1" applyFont="1"/>
    <xf numFmtId="165" fontId="32" fillId="0" borderId="0" xfId="1" quotePrefix="1" applyNumberFormat="1" applyFont="1" applyAlignment="1">
      <alignment horizontal="right"/>
    </xf>
    <xf numFmtId="165" fontId="7" fillId="0" borderId="0" xfId="1" applyNumberFormat="1" applyFont="1" applyAlignment="1">
      <alignment vertical="center" wrapText="1"/>
    </xf>
    <xf numFmtId="0" fontId="14" fillId="0" borderId="1" xfId="1" applyFont="1" applyBorder="1" applyAlignment="1">
      <alignment vertical="center" wrapText="1"/>
    </xf>
    <xf numFmtId="20" fontId="10" fillId="9" borderId="2" xfId="1" applyNumberFormat="1" applyFont="1" applyFill="1" applyBorder="1" applyAlignment="1">
      <alignment horizontal="left" vertical="center" wrapText="1"/>
    </xf>
    <xf numFmtId="0" fontId="14" fillId="8" borderId="0" xfId="1" applyFont="1" applyFill="1" applyAlignment="1">
      <alignment horizontal="right" vertical="center" wrapText="1"/>
    </xf>
    <xf numFmtId="0" fontId="33" fillId="0" borderId="1" xfId="1" applyFont="1" applyBorder="1" applyAlignment="1">
      <alignment horizontal="left" vertical="center" wrapText="1"/>
    </xf>
    <xf numFmtId="0" fontId="22" fillId="0" borderId="0" xfId="2" applyFont="1" applyAlignment="1">
      <alignment horizontal="left" vertical="center" wrapText="1"/>
    </xf>
    <xf numFmtId="49" fontId="22" fillId="0" borderId="0" xfId="1" applyNumberFormat="1" applyFont="1" applyAlignment="1">
      <alignment horizontal="left" vertical="center" wrapText="1"/>
    </xf>
    <xf numFmtId="0" fontId="24" fillId="0" borderId="1" xfId="1" applyFont="1" applyBorder="1" applyAlignment="1">
      <alignment horizontal="left" vertical="center" wrapText="1"/>
    </xf>
    <xf numFmtId="0" fontId="7" fillId="0" borderId="1" xfId="2" applyFont="1" applyBorder="1" applyAlignment="1">
      <alignment horizontal="right" vertical="center"/>
    </xf>
    <xf numFmtId="0" fontId="7" fillId="0" borderId="0" xfId="2" applyFont="1" applyAlignment="1">
      <alignment horizontal="right" vertical="center"/>
    </xf>
    <xf numFmtId="0" fontId="24" fillId="14" borderId="16" xfId="1" applyFont="1" applyFill="1" applyBorder="1" applyAlignment="1">
      <alignment horizontal="left" vertical="center" wrapText="1"/>
    </xf>
    <xf numFmtId="0" fontId="27" fillId="0" borderId="1" xfId="1" applyFont="1" applyBorder="1" applyAlignment="1">
      <alignment horizontal="left" vertical="center" wrapText="1"/>
    </xf>
    <xf numFmtId="20" fontId="14" fillId="9" borderId="2" xfId="1" applyNumberFormat="1" applyFont="1" applyFill="1" applyBorder="1" applyAlignment="1">
      <alignment horizontal="right" vertical="center" wrapText="1"/>
    </xf>
    <xf numFmtId="0" fontId="14" fillId="9" borderId="7" xfId="1" applyFont="1" applyFill="1" applyBorder="1" applyAlignment="1">
      <alignment horizontal="right" vertical="center" wrapText="1"/>
    </xf>
    <xf numFmtId="0" fontId="34" fillId="0" borderId="0" xfId="2" applyFont="1">
      <alignment vertical="center"/>
    </xf>
    <xf numFmtId="165" fontId="7" fillId="0" borderId="0" xfId="2" applyNumberFormat="1" applyFont="1" applyAlignment="1">
      <alignment horizontal="right" vertical="center"/>
    </xf>
    <xf numFmtId="0" fontId="12" fillId="11" borderId="1" xfId="1" applyFont="1" applyFill="1" applyBorder="1" applyAlignment="1">
      <alignment horizontal="left" vertical="center" wrapText="1"/>
    </xf>
    <xf numFmtId="0" fontId="35" fillId="11" borderId="2" xfId="1" applyFont="1" applyFill="1" applyBorder="1" applyAlignment="1">
      <alignment horizontal="right" vertical="center" wrapText="1"/>
    </xf>
    <xf numFmtId="49" fontId="22" fillId="0" borderId="0" xfId="1" applyNumberFormat="1" applyFont="1" applyAlignment="1">
      <alignment vertical="center" wrapText="1"/>
    </xf>
    <xf numFmtId="0" fontId="22" fillId="0" borderId="0" xfId="2" applyFont="1">
      <alignment vertical="center"/>
    </xf>
    <xf numFmtId="0" fontId="22" fillId="0" borderId="1" xfId="2" applyFont="1" applyBorder="1" applyAlignment="1">
      <alignment vertical="center" wrapText="1"/>
    </xf>
    <xf numFmtId="0" fontId="22" fillId="0" borderId="2" xfId="1" quotePrefix="1" applyFont="1" applyBorder="1" applyAlignment="1">
      <alignment horizontal="left" vertical="center" wrapText="1"/>
    </xf>
    <xf numFmtId="0" fontId="14" fillId="0" borderId="1" xfId="1" applyFont="1" applyBorder="1" applyAlignment="1">
      <alignment horizontal="left" vertical="center" wrapText="1"/>
    </xf>
    <xf numFmtId="165" fontId="34" fillId="11" borderId="1" xfId="2" applyNumberFormat="1" applyFont="1" applyFill="1" applyBorder="1" applyAlignment="1">
      <alignment horizontal="left" vertical="center"/>
    </xf>
    <xf numFmtId="0" fontId="32" fillId="0" borderId="0" xfId="1" applyFont="1" applyAlignment="1">
      <alignment horizontal="left" vertical="center"/>
    </xf>
    <xf numFmtId="165" fontId="7" fillId="0" borderId="0" xfId="1" applyNumberFormat="1" applyFont="1"/>
    <xf numFmtId="0" fontId="14" fillId="8" borderId="20" xfId="1" applyFont="1" applyFill="1" applyBorder="1" applyAlignment="1">
      <alignment horizontal="center" vertical="center" wrapText="1"/>
    </xf>
    <xf numFmtId="2" fontId="12" fillId="0" borderId="21" xfId="1" applyNumberFormat="1" applyFont="1" applyBorder="1" applyAlignment="1">
      <alignment horizontal="left" vertical="center" wrapText="1"/>
    </xf>
    <xf numFmtId="2" fontId="12" fillId="0" borderId="11" xfId="1" applyNumberFormat="1" applyFont="1" applyBorder="1" applyAlignment="1">
      <alignment horizontal="left" vertical="center" wrapText="1"/>
    </xf>
    <xf numFmtId="2" fontId="12" fillId="0" borderId="20" xfId="1" applyNumberFormat="1" applyFont="1" applyBorder="1" applyAlignment="1">
      <alignment horizontal="left" vertical="center" wrapText="1"/>
    </xf>
    <xf numFmtId="2" fontId="12" fillId="11" borderId="21" xfId="1" applyNumberFormat="1" applyFont="1" applyFill="1" applyBorder="1" applyAlignment="1">
      <alignment horizontal="left" vertical="center" wrapText="1"/>
    </xf>
    <xf numFmtId="166" fontId="11" fillId="0" borderId="21" xfId="2" applyNumberFormat="1" applyFont="1" applyBorder="1" applyAlignment="1">
      <alignment horizontal="left" vertical="center" wrapText="1"/>
    </xf>
    <xf numFmtId="20" fontId="10" fillId="0" borderId="21" xfId="1" applyNumberFormat="1" applyFont="1" applyBorder="1" applyAlignment="1">
      <alignment horizontal="left" vertical="center" wrapText="1"/>
    </xf>
    <xf numFmtId="20" fontId="14" fillId="9" borderId="11" xfId="1" applyNumberFormat="1" applyFont="1" applyFill="1" applyBorder="1" applyAlignment="1">
      <alignment horizontal="left" vertical="center" wrapText="1"/>
    </xf>
    <xf numFmtId="165" fontId="37" fillId="0" borderId="1" xfId="2" applyNumberFormat="1" applyFont="1" applyBorder="1" applyAlignment="1">
      <alignment horizontal="left" vertical="center"/>
    </xf>
    <xf numFmtId="0" fontId="32" fillId="0" borderId="0" xfId="2" applyFont="1" applyAlignment="1">
      <alignment horizontal="left" vertical="center"/>
    </xf>
    <xf numFmtId="165" fontId="32" fillId="0" borderId="0" xfId="1" applyNumberFormat="1" applyFont="1" applyAlignment="1">
      <alignment horizontal="right"/>
    </xf>
    <xf numFmtId="2" fontId="12" fillId="0" borderId="0" xfId="1" applyNumberFormat="1" applyFont="1" applyAlignment="1">
      <alignment horizontal="left" vertical="center" wrapText="1"/>
    </xf>
    <xf numFmtId="0" fontId="11" fillId="11" borderId="1" xfId="2" applyFont="1" applyFill="1" applyBorder="1" applyAlignment="1">
      <alignment vertical="center" wrapText="1"/>
    </xf>
    <xf numFmtId="2" fontId="12" fillId="11" borderId="0" xfId="1" applyNumberFormat="1" applyFont="1" applyFill="1" applyAlignment="1">
      <alignment horizontal="left" vertical="center" wrapText="1"/>
    </xf>
    <xf numFmtId="20" fontId="38" fillId="0" borderId="1" xfId="1" applyNumberFormat="1" applyFont="1" applyBorder="1" applyAlignment="1">
      <alignment horizontal="left" vertical="center" wrapText="1"/>
    </xf>
    <xf numFmtId="0" fontId="14" fillId="9" borderId="0" xfId="1" applyFont="1" applyFill="1" applyAlignment="1">
      <alignment horizontal="left" vertical="center" wrapText="1"/>
    </xf>
    <xf numFmtId="0" fontId="36" fillId="0" borderId="1" xfId="4" applyFont="1" applyFill="1" applyBorder="1" applyAlignment="1">
      <alignment horizontal="left" vertical="center" wrapText="1"/>
    </xf>
    <xf numFmtId="0" fontId="36" fillId="0" borderId="16" xfId="4" applyFont="1" applyFill="1" applyBorder="1" applyAlignment="1">
      <alignment horizontal="left" vertical="center" wrapText="1"/>
    </xf>
    <xf numFmtId="0" fontId="36" fillId="0" borderId="23" xfId="4" applyFont="1" applyFill="1" applyBorder="1" applyAlignment="1">
      <alignment horizontal="left" vertical="center" wrapText="1"/>
    </xf>
    <xf numFmtId="165" fontId="12" fillId="0" borderId="1" xfId="2" applyNumberFormat="1" applyFont="1" applyBorder="1" applyAlignment="1">
      <alignment horizontal="left" vertical="center"/>
    </xf>
    <xf numFmtId="2" fontId="12" fillId="11" borderId="2" xfId="1" applyNumberFormat="1" applyFont="1" applyFill="1" applyBorder="1" applyAlignment="1">
      <alignment horizontal="left" vertical="center" wrapText="1"/>
    </xf>
    <xf numFmtId="0" fontId="36" fillId="9" borderId="1" xfId="4" applyFont="1" applyFill="1" applyBorder="1" applyAlignment="1">
      <alignment horizontal="center" vertical="center" wrapText="1"/>
    </xf>
    <xf numFmtId="49" fontId="12" fillId="11" borderId="0" xfId="1" applyNumberFormat="1" applyFont="1" applyFill="1" applyAlignment="1">
      <alignment horizontal="left" vertical="center" wrapText="1"/>
    </xf>
    <xf numFmtId="167" fontId="11" fillId="11" borderId="1" xfId="2" applyNumberFormat="1" applyFont="1" applyFill="1" applyBorder="1" applyAlignment="1">
      <alignment horizontal="left" vertical="center" wrapText="1"/>
    </xf>
    <xf numFmtId="167" fontId="11" fillId="0" borderId="0" xfId="2" applyNumberFormat="1" applyFont="1" applyAlignment="1">
      <alignment horizontal="center" vertical="center" wrapText="1"/>
    </xf>
    <xf numFmtId="2" fontId="12" fillId="0" borderId="0" xfId="1" applyNumberFormat="1" applyFont="1" applyAlignment="1">
      <alignment vertical="center" wrapText="1"/>
    </xf>
    <xf numFmtId="2" fontId="12" fillId="0" borderId="1" xfId="1" applyNumberFormat="1" applyFont="1" applyBorder="1" applyAlignment="1">
      <alignment vertical="center" wrapText="1"/>
    </xf>
    <xf numFmtId="49" fontId="12" fillId="0" borderId="1" xfId="1" applyNumberFormat="1" applyFont="1" applyBorder="1" applyAlignment="1">
      <alignment vertical="center" wrapText="1"/>
    </xf>
    <xf numFmtId="49" fontId="12" fillId="0" borderId="0" xfId="1" applyNumberFormat="1" applyFont="1" applyAlignment="1">
      <alignment vertical="center" wrapText="1"/>
    </xf>
    <xf numFmtId="0" fontId="12" fillId="11" borderId="1" xfId="2" applyFont="1" applyFill="1" applyBorder="1" applyAlignment="1">
      <alignment horizontal="left" vertical="center" wrapText="1"/>
    </xf>
    <xf numFmtId="0" fontId="11" fillId="11" borderId="2" xfId="2" applyFont="1" applyFill="1" applyBorder="1" applyAlignment="1">
      <alignment vertical="center" wrapText="1"/>
    </xf>
    <xf numFmtId="20" fontId="10" fillId="0" borderId="2" xfId="1" applyNumberFormat="1" applyFont="1" applyBorder="1" applyAlignment="1">
      <alignment horizontal="left" vertical="center" wrapText="1"/>
    </xf>
    <xf numFmtId="0" fontId="10" fillId="9" borderId="0" xfId="1" applyFont="1" applyFill="1" applyAlignment="1">
      <alignment horizontal="left" vertical="center" wrapText="1"/>
    </xf>
    <xf numFmtId="0" fontId="10" fillId="9" borderId="7" xfId="1" applyFont="1" applyFill="1" applyBorder="1" applyAlignment="1">
      <alignment horizontal="left" vertical="center" wrapText="1"/>
    </xf>
    <xf numFmtId="0" fontId="37" fillId="11" borderId="1" xfId="2" applyFont="1" applyFill="1" applyBorder="1" applyAlignment="1">
      <alignment horizontal="left" vertical="center"/>
    </xf>
    <xf numFmtId="0" fontId="11" fillId="0" borderId="0" xfId="2" applyFont="1" applyAlignment="1">
      <alignment horizontal="center" vertical="center" wrapText="1"/>
    </xf>
    <xf numFmtId="0" fontId="11" fillId="0" borderId="1" xfId="2" applyFont="1" applyBorder="1" applyAlignment="1">
      <alignment horizontal="left" vertical="center" wrapText="1"/>
    </xf>
    <xf numFmtId="2" fontId="12" fillId="0" borderId="1" xfId="1" applyNumberFormat="1" applyFont="1" applyBorder="1" applyAlignment="1">
      <alignment horizontal="left" vertical="center" wrapText="1"/>
    </xf>
    <xf numFmtId="0" fontId="11" fillId="11" borderId="0" xfId="2" applyFont="1" applyFill="1" applyAlignment="1">
      <alignment vertical="center" wrapText="1"/>
    </xf>
    <xf numFmtId="167" fontId="11" fillId="11" borderId="1" xfId="2" applyNumberFormat="1" applyFont="1" applyFill="1" applyBorder="1" applyAlignment="1">
      <alignment vertical="center" wrapText="1"/>
    </xf>
    <xf numFmtId="167" fontId="11" fillId="11" borderId="0" xfId="2" applyNumberFormat="1" applyFont="1" applyFill="1" applyAlignment="1">
      <alignment vertical="center" wrapText="1"/>
    </xf>
    <xf numFmtId="0" fontId="14" fillId="10" borderId="0" xfId="0" applyFont="1" applyFill="1" applyAlignment="1">
      <alignment vertical="top"/>
    </xf>
    <xf numFmtId="0" fontId="17" fillId="0" borderId="0" xfId="2" applyFont="1" applyAlignment="1">
      <alignment vertical="center" wrapText="1"/>
    </xf>
    <xf numFmtId="49" fontId="17" fillId="0" borderId="0" xfId="2" applyNumberFormat="1" applyFont="1" applyAlignment="1">
      <alignment horizontal="left" vertical="center" wrapText="1"/>
    </xf>
    <xf numFmtId="165" fontId="34" fillId="0" borderId="1" xfId="2" applyNumberFormat="1" applyFont="1" applyBorder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11" fillId="0" borderId="2" xfId="2" applyFont="1" applyBorder="1" applyAlignment="1">
      <alignment vertical="center" wrapText="1"/>
    </xf>
    <xf numFmtId="0" fontId="10" fillId="0" borderId="0" xfId="2" applyFont="1" applyAlignment="1">
      <alignment horizontal="left" vertical="center" wrapText="1"/>
    </xf>
    <xf numFmtId="167" fontId="11" fillId="11" borderId="0" xfId="2" quotePrefix="1" applyNumberFormat="1" applyFont="1" applyFill="1" applyAlignment="1">
      <alignment horizontal="center" vertical="center" wrapText="1"/>
    </xf>
    <xf numFmtId="0" fontId="12" fillId="0" borderId="1" xfId="2" applyFont="1" applyBorder="1" applyAlignment="1">
      <alignment horizontal="left" vertical="center" wrapText="1"/>
    </xf>
    <xf numFmtId="0" fontId="11" fillId="0" borderId="2" xfId="2" applyFont="1" applyBorder="1">
      <alignment vertical="center"/>
    </xf>
    <xf numFmtId="20" fontId="32" fillId="0" borderId="1" xfId="1" applyNumberFormat="1" applyFont="1" applyBorder="1" applyAlignment="1">
      <alignment horizontal="left" vertical="center" wrapText="1"/>
    </xf>
    <xf numFmtId="20" fontId="32" fillId="0" borderId="2" xfId="1" applyNumberFormat="1" applyFont="1" applyBorder="1" applyAlignment="1">
      <alignment horizontal="left" vertical="center" wrapText="1"/>
    </xf>
    <xf numFmtId="0" fontId="32" fillId="9" borderId="0" xfId="1" applyFont="1" applyFill="1" applyAlignment="1">
      <alignment horizontal="left" vertical="center" wrapText="1"/>
    </xf>
    <xf numFmtId="0" fontId="32" fillId="9" borderId="7" xfId="1" applyFont="1" applyFill="1" applyBorder="1" applyAlignment="1">
      <alignment horizontal="left" vertical="center" wrapText="1"/>
    </xf>
    <xf numFmtId="165" fontId="34" fillId="0" borderId="1" xfId="1" applyNumberFormat="1" applyFont="1" applyBorder="1" applyAlignment="1">
      <alignment horizontal="left" vertical="center" wrapText="1"/>
    </xf>
    <xf numFmtId="49" fontId="11" fillId="0" borderId="0" xfId="2" applyNumberFormat="1" applyFont="1" applyAlignment="1">
      <alignment vertical="center" wrapText="1"/>
    </xf>
    <xf numFmtId="0" fontId="11" fillId="0" borderId="1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 wrapText="1"/>
    </xf>
    <xf numFmtId="0" fontId="7" fillId="9" borderId="1" xfId="1" applyFont="1" applyFill="1" applyBorder="1" applyAlignment="1">
      <alignment horizontal="left" vertical="center" wrapText="1"/>
    </xf>
    <xf numFmtId="0" fontId="12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 wrapText="1"/>
    </xf>
    <xf numFmtId="0" fontId="42" fillId="0" borderId="1" xfId="1" applyFont="1" applyBorder="1" applyAlignment="1">
      <alignment vertical="center" wrapText="1"/>
    </xf>
    <xf numFmtId="165" fontId="11" fillId="11" borderId="1" xfId="2" applyNumberFormat="1" applyFont="1" applyFill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42" fillId="0" borderId="1" xfId="1" applyFont="1" applyBorder="1" applyAlignment="1">
      <alignment horizontal="left" vertical="center" wrapText="1"/>
    </xf>
    <xf numFmtId="0" fontId="32" fillId="9" borderId="1" xfId="1" applyFont="1" applyFill="1" applyBorder="1" applyAlignment="1">
      <alignment horizontal="left" vertical="center" wrapText="1"/>
    </xf>
    <xf numFmtId="165" fontId="43" fillId="0" borderId="1" xfId="2" applyNumberFormat="1" applyFont="1" applyBorder="1" applyAlignment="1">
      <alignment horizontal="left" vertical="center"/>
    </xf>
    <xf numFmtId="0" fontId="10" fillId="8" borderId="20" xfId="1" applyFont="1" applyFill="1" applyBorder="1" applyAlignment="1">
      <alignment horizontal="left" vertical="center" wrapText="1"/>
    </xf>
    <xf numFmtId="166" fontId="12" fillId="0" borderId="21" xfId="1" applyNumberFormat="1" applyFont="1" applyBorder="1" applyAlignment="1">
      <alignment horizontal="left" vertical="center" wrapText="1"/>
    </xf>
    <xf numFmtId="166" fontId="12" fillId="0" borderId="11" xfId="1" applyNumberFormat="1" applyFont="1" applyBorder="1" applyAlignment="1">
      <alignment horizontal="left" vertical="center" wrapText="1"/>
    </xf>
    <xf numFmtId="166" fontId="12" fillId="0" borderId="21" xfId="2" applyNumberFormat="1" applyFont="1" applyBorder="1" applyAlignment="1">
      <alignment horizontal="left"/>
    </xf>
    <xf numFmtId="166" fontId="12" fillId="0" borderId="11" xfId="2" applyNumberFormat="1" applyFont="1" applyBorder="1" applyAlignment="1">
      <alignment horizontal="left"/>
    </xf>
    <xf numFmtId="166" fontId="12" fillId="0" borderId="20" xfId="2" applyNumberFormat="1" applyFont="1" applyBorder="1" applyAlignment="1">
      <alignment horizontal="left"/>
    </xf>
    <xf numFmtId="166" fontId="12" fillId="0" borderId="20" xfId="1" applyNumberFormat="1" applyFont="1" applyBorder="1" applyAlignment="1">
      <alignment horizontal="left" vertical="center" wrapText="1"/>
    </xf>
    <xf numFmtId="0" fontId="17" fillId="11" borderId="1" xfId="2" applyFont="1" applyFill="1" applyBorder="1">
      <alignment vertical="center"/>
    </xf>
    <xf numFmtId="166" fontId="17" fillId="0" borderId="0" xfId="2" applyNumberFormat="1" applyFont="1" applyAlignment="1">
      <alignment horizontal="left"/>
    </xf>
    <xf numFmtId="20" fontId="32" fillId="0" borderId="21" xfId="1" applyNumberFormat="1" applyFont="1" applyBorder="1" applyAlignment="1">
      <alignment horizontal="left" vertical="center" wrapText="1"/>
    </xf>
    <xf numFmtId="20" fontId="32" fillId="0" borderId="11" xfId="1" applyNumberFormat="1" applyFont="1" applyBorder="1" applyAlignment="1">
      <alignment horizontal="left" vertical="center" wrapText="1"/>
    </xf>
    <xf numFmtId="0" fontId="32" fillId="9" borderId="21" xfId="1" applyFont="1" applyFill="1" applyBorder="1" applyAlignment="1">
      <alignment horizontal="left" vertical="center" wrapText="1"/>
    </xf>
    <xf numFmtId="0" fontId="32" fillId="9" borderId="12" xfId="1" applyFont="1" applyFill="1" applyBorder="1" applyAlignment="1">
      <alignment horizontal="left" vertical="center" wrapText="1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left" vertical="center" wrapText="1"/>
    </xf>
    <xf numFmtId="0" fontId="17" fillId="15" borderId="1" xfId="2" applyFont="1" applyFill="1" applyBorder="1" applyAlignment="1">
      <alignment horizontal="left" vertical="center"/>
    </xf>
    <xf numFmtId="0" fontId="10" fillId="15" borderId="0" xfId="2" applyFont="1" applyFill="1" applyAlignment="1">
      <alignment vertical="center" wrapText="1"/>
    </xf>
    <xf numFmtId="0" fontId="17" fillId="15" borderId="0" xfId="2" applyFont="1" applyFill="1">
      <alignment vertical="center"/>
    </xf>
    <xf numFmtId="0" fontId="17" fillId="0" borderId="0" xfId="2" applyFont="1" applyAlignment="1">
      <alignment horizontal="left" vertical="center" wrapText="1"/>
    </xf>
    <xf numFmtId="0" fontId="32" fillId="9" borderId="26" xfId="1" applyFont="1" applyFill="1" applyBorder="1" applyAlignment="1">
      <alignment horizontal="left" vertical="center" wrapText="1"/>
    </xf>
    <xf numFmtId="0" fontId="42" fillId="9" borderId="10" xfId="1" applyFont="1" applyFill="1" applyBorder="1" applyAlignment="1">
      <alignment horizontal="left" vertical="center" wrapText="1"/>
    </xf>
    <xf numFmtId="0" fontId="17" fillId="15" borderId="1" xfId="2" applyFont="1" applyFill="1" applyBorder="1" applyAlignment="1">
      <alignment vertical="center" wrapText="1"/>
    </xf>
    <xf numFmtId="0" fontId="17" fillId="15" borderId="0" xfId="1" applyFont="1" applyFill="1" applyAlignment="1">
      <alignment horizontal="left" vertical="center"/>
    </xf>
    <xf numFmtId="0" fontId="37" fillId="15" borderId="0" xfId="2" applyFont="1" applyFill="1" applyAlignment="1">
      <alignment horizontal="left" vertical="center"/>
    </xf>
    <xf numFmtId="165" fontId="7" fillId="0" borderId="0" xfId="2" applyNumberFormat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11" fillId="11" borderId="1" xfId="1" applyFont="1" applyFill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2" fillId="11" borderId="1" xfId="2" applyFont="1" applyFill="1" applyBorder="1">
      <alignment vertical="center"/>
    </xf>
    <xf numFmtId="0" fontId="17" fillId="15" borderId="1" xfId="1" applyFont="1" applyFill="1" applyBorder="1" applyAlignment="1">
      <alignment horizontal="left" vertical="center" wrapText="1"/>
    </xf>
    <xf numFmtId="0" fontId="17" fillId="15" borderId="0" xfId="1" applyFont="1" applyFill="1" applyAlignment="1">
      <alignment horizontal="left" vertical="center" wrapText="1"/>
    </xf>
    <xf numFmtId="0" fontId="17" fillId="15" borderId="0" xfId="2" applyFont="1" applyFill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49" fontId="12" fillId="0" borderId="2" xfId="1" applyNumberFormat="1" applyFont="1" applyBorder="1" applyAlignment="1">
      <alignment horizontal="left" vertical="center" wrapText="1"/>
    </xf>
    <xf numFmtId="0" fontId="11" fillId="11" borderId="1" xfId="2" applyFont="1" applyFill="1" applyBorder="1" applyAlignment="1">
      <alignment horizontal="left" vertical="center"/>
    </xf>
    <xf numFmtId="0" fontId="12" fillId="0" borderId="1" xfId="1" applyFont="1" applyBorder="1" applyAlignment="1">
      <alignment horizontal="left" vertical="center" wrapText="1"/>
    </xf>
    <xf numFmtId="0" fontId="17" fillId="15" borderId="1" xfId="2" applyFont="1" applyFill="1" applyBorder="1">
      <alignment vertical="center"/>
    </xf>
    <xf numFmtId="0" fontId="17" fillId="15" borderId="0" xfId="2" applyFont="1" applyFill="1" applyAlignment="1">
      <alignment vertical="center" wrapText="1"/>
    </xf>
    <xf numFmtId="0" fontId="12" fillId="8" borderId="2" xfId="1" applyFont="1" applyFill="1" applyBorder="1" applyAlignment="1">
      <alignment horizontal="center" vertical="center" wrapText="1"/>
    </xf>
    <xf numFmtId="0" fontId="12" fillId="9" borderId="2" xfId="1" applyFont="1" applyFill="1" applyBorder="1" applyAlignment="1">
      <alignment horizontal="left" vertical="center" wrapText="1"/>
    </xf>
    <xf numFmtId="0" fontId="12" fillId="9" borderId="1" xfId="3" applyFont="1" applyFill="1" applyBorder="1" applyAlignment="1">
      <alignment horizontal="left" vertical="center" wrapText="1"/>
    </xf>
    <xf numFmtId="49" fontId="12" fillId="9" borderId="1" xfId="1" applyNumberFormat="1" applyFont="1" applyFill="1" applyBorder="1" applyAlignment="1">
      <alignment horizontal="left" vertical="center" wrapText="1"/>
    </xf>
    <xf numFmtId="49" fontId="12" fillId="9" borderId="0" xfId="1" applyNumberFormat="1" applyFont="1" applyFill="1" applyAlignment="1">
      <alignment horizontal="left" vertical="center" wrapText="1"/>
    </xf>
    <xf numFmtId="49" fontId="10" fillId="15" borderId="0" xfId="1" applyNumberFormat="1" applyFont="1" applyFill="1" applyAlignment="1">
      <alignment horizontal="left" vertical="center" wrapText="1"/>
    </xf>
    <xf numFmtId="0" fontId="10" fillId="15" borderId="0" xfId="2" applyFont="1" applyFill="1">
      <alignment vertical="center"/>
    </xf>
    <xf numFmtId="0" fontId="10" fillId="0" borderId="0" xfId="2" applyFont="1">
      <alignment vertical="center"/>
    </xf>
    <xf numFmtId="0" fontId="12" fillId="8" borderId="11" xfId="1" applyFont="1" applyFill="1" applyBorder="1" applyAlignment="1">
      <alignment horizontal="center" vertical="center" wrapText="1"/>
    </xf>
    <xf numFmtId="0" fontId="12" fillId="9" borderId="21" xfId="1" applyFont="1" applyFill="1" applyBorder="1" applyAlignment="1">
      <alignment horizontal="left" vertical="center" wrapText="1"/>
    </xf>
    <xf numFmtId="0" fontId="12" fillId="9" borderId="11" xfId="1" applyFont="1" applyFill="1" applyBorder="1" applyAlignment="1">
      <alignment horizontal="left" vertical="center" wrapText="1"/>
    </xf>
    <xf numFmtId="0" fontId="12" fillId="9" borderId="20" xfId="1" applyFont="1" applyFill="1" applyBorder="1" applyAlignment="1">
      <alignment horizontal="left" vertical="center" wrapText="1"/>
    </xf>
    <xf numFmtId="0" fontId="11" fillId="0" borderId="21" xfId="2" applyFont="1" applyBorder="1" applyAlignment="1">
      <alignment vertical="center" wrapText="1"/>
    </xf>
    <xf numFmtId="0" fontId="12" fillId="0" borderId="11" xfId="1" applyFont="1" applyBorder="1" applyAlignment="1">
      <alignment horizontal="left" vertical="center" wrapText="1"/>
    </xf>
    <xf numFmtId="49" fontId="15" fillId="15" borderId="0" xfId="5" applyNumberFormat="1" applyFont="1" applyFill="1" applyAlignment="1">
      <alignment horizontal="left" vertical="center" wrapText="1"/>
    </xf>
    <xf numFmtId="0" fontId="15" fillId="15" borderId="0" xfId="1" applyFont="1" applyFill="1" applyAlignment="1">
      <alignment horizontal="left" vertical="center" wrapText="1"/>
    </xf>
    <xf numFmtId="0" fontId="15" fillId="0" borderId="0" xfId="1" applyFont="1" applyAlignment="1">
      <alignment horizontal="left" vertical="center" wrapText="1"/>
    </xf>
    <xf numFmtId="20" fontId="10" fillId="9" borderId="21" xfId="1" applyNumberFormat="1" applyFont="1" applyFill="1" applyBorder="1" applyAlignment="1">
      <alignment horizontal="left" vertical="center" wrapText="1"/>
    </xf>
    <xf numFmtId="20" fontId="10" fillId="9" borderId="11" xfId="1" applyNumberFormat="1" applyFont="1" applyFill="1" applyBorder="1" applyAlignment="1">
      <alignment horizontal="left" vertical="center" wrapText="1"/>
    </xf>
    <xf numFmtId="0" fontId="32" fillId="8" borderId="2" xfId="1" applyFont="1" applyFill="1" applyBorder="1" applyAlignment="1">
      <alignment horizontal="center" vertical="center" wrapText="1"/>
    </xf>
    <xf numFmtId="0" fontId="10" fillId="9" borderId="1" xfId="1" applyFont="1" applyFill="1" applyBorder="1" applyAlignment="1">
      <alignment vertical="center" wrapText="1"/>
    </xf>
    <xf numFmtId="0" fontId="32" fillId="9" borderId="2" xfId="1" applyFont="1" applyFill="1" applyBorder="1" applyAlignment="1">
      <alignment horizontal="left" vertical="center" wrapText="1"/>
    </xf>
    <xf numFmtId="0" fontId="10" fillId="11" borderId="1" xfId="1" applyFont="1" applyFill="1" applyBorder="1" applyAlignment="1">
      <alignment vertical="center" wrapText="1"/>
    </xf>
    <xf numFmtId="0" fontId="32" fillId="9" borderId="14" xfId="1" applyFont="1" applyFill="1" applyBorder="1" applyAlignment="1">
      <alignment horizontal="left" vertical="center" wrapText="1"/>
    </xf>
    <xf numFmtId="0" fontId="32" fillId="9" borderId="1" xfId="1" applyFont="1" applyFill="1" applyBorder="1" applyAlignment="1">
      <alignment vertical="center" wrapText="1"/>
    </xf>
    <xf numFmtId="0" fontId="17" fillId="0" borderId="1" xfId="2" applyFont="1" applyBorder="1" applyAlignment="1">
      <alignment vertical="center" wrapText="1"/>
    </xf>
    <xf numFmtId="0" fontId="32" fillId="16" borderId="1" xfId="1" applyFont="1" applyFill="1" applyBorder="1" applyAlignment="1">
      <alignment horizontal="left" vertical="center" wrapText="1"/>
    </xf>
    <xf numFmtId="0" fontId="32" fillId="15" borderId="0" xfId="1" applyFont="1" applyFill="1" applyAlignment="1">
      <alignment horizontal="left" vertical="center" wrapText="1"/>
    </xf>
    <xf numFmtId="0" fontId="32" fillId="0" borderId="0" xfId="1" applyFont="1" applyAlignment="1">
      <alignment horizontal="left" vertical="center" wrapText="1"/>
    </xf>
    <xf numFmtId="20" fontId="32" fillId="9" borderId="2" xfId="1" applyNumberFormat="1" applyFont="1" applyFill="1" applyBorder="1" applyAlignment="1">
      <alignment horizontal="left" vertical="center" wrapText="1"/>
    </xf>
    <xf numFmtId="0" fontId="42" fillId="8" borderId="11" xfId="1" applyFont="1" applyFill="1" applyBorder="1" applyAlignment="1">
      <alignment horizontal="center" vertical="center" wrapText="1"/>
    </xf>
    <xf numFmtId="0" fontId="42" fillId="9" borderId="21" xfId="1" applyFont="1" applyFill="1" applyBorder="1" applyAlignment="1">
      <alignment horizontal="left" vertical="center" wrapText="1"/>
    </xf>
    <xf numFmtId="0" fontId="42" fillId="9" borderId="11" xfId="1" applyFont="1" applyFill="1" applyBorder="1" applyAlignment="1">
      <alignment horizontal="left" vertical="center" wrapText="1"/>
    </xf>
    <xf numFmtId="0" fontId="42" fillId="9" borderId="20" xfId="1" applyFont="1" applyFill="1" applyBorder="1" applyAlignment="1">
      <alignment horizontal="left" vertical="center" wrapText="1"/>
    </xf>
    <xf numFmtId="0" fontId="45" fillId="0" borderId="0" xfId="1" applyFont="1" applyAlignment="1">
      <alignment horizontal="left" vertical="center" wrapText="1"/>
    </xf>
    <xf numFmtId="0" fontId="42" fillId="9" borderId="1" xfId="1" applyFont="1" applyFill="1" applyBorder="1" applyAlignment="1">
      <alignment vertical="center" wrapText="1"/>
    </xf>
    <xf numFmtId="0" fontId="42" fillId="9" borderId="0" xfId="1" applyFont="1" applyFill="1" applyAlignment="1">
      <alignment horizontal="left" vertical="center" wrapText="1"/>
    </xf>
    <xf numFmtId="0" fontId="42" fillId="9" borderId="1" xfId="1" applyFont="1" applyFill="1" applyBorder="1" applyAlignment="1">
      <alignment horizontal="left" vertical="center" wrapText="1"/>
    </xf>
    <xf numFmtId="0" fontId="42" fillId="9" borderId="7" xfId="1" applyFont="1" applyFill="1" applyBorder="1" applyAlignment="1">
      <alignment horizontal="left" vertical="center" wrapText="1"/>
    </xf>
    <xf numFmtId="0" fontId="42" fillId="17" borderId="1" xfId="6" applyFont="1" applyFill="1" applyBorder="1" applyAlignment="1">
      <alignment vertical="center"/>
    </xf>
    <xf numFmtId="2" fontId="32" fillId="18" borderId="1" xfId="6" applyNumberFormat="1" applyFont="1" applyFill="1" applyBorder="1" applyAlignment="1">
      <alignment vertical="center" wrapText="1"/>
    </xf>
    <xf numFmtId="0" fontId="32" fillId="18" borderId="0" xfId="6" applyNumberFormat="1" applyFont="1" applyFill="1" applyBorder="1" applyAlignment="1">
      <alignment vertical="center" wrapText="1"/>
    </xf>
    <xf numFmtId="0" fontId="32" fillId="18" borderId="1" xfId="4" applyFont="1" applyFill="1" applyBorder="1" applyAlignment="1">
      <alignment vertical="center" wrapText="1"/>
    </xf>
    <xf numFmtId="0" fontId="32" fillId="18" borderId="0" xfId="4" applyFont="1" applyFill="1" applyBorder="1" applyAlignment="1">
      <alignment vertical="center" wrapText="1"/>
    </xf>
    <xf numFmtId="0" fontId="32" fillId="9" borderId="27" xfId="1" applyFont="1" applyFill="1" applyBorder="1" applyAlignment="1">
      <alignment vertical="center" wrapText="1"/>
    </xf>
    <xf numFmtId="0" fontId="32" fillId="9" borderId="0" xfId="1" applyFont="1" applyFill="1" applyAlignment="1">
      <alignment vertical="center" wrapText="1"/>
    </xf>
    <xf numFmtId="0" fontId="32" fillId="0" borderId="2" xfId="4" applyFont="1" applyFill="1" applyBorder="1" applyAlignment="1">
      <alignment vertical="center" wrapText="1"/>
    </xf>
    <xf numFmtId="0" fontId="32" fillId="0" borderId="0" xfId="4" applyFont="1" applyFill="1" applyBorder="1" applyAlignment="1">
      <alignment vertical="center" wrapText="1"/>
    </xf>
    <xf numFmtId="0" fontId="32" fillId="9" borderId="0" xfId="4" applyFont="1" applyFill="1" applyBorder="1" applyAlignment="1">
      <alignment vertical="center" wrapText="1"/>
    </xf>
    <xf numFmtId="0" fontId="42" fillId="0" borderId="0" xfId="2" applyFont="1" applyAlignment="1">
      <alignment vertical="center" wrapText="1"/>
    </xf>
    <xf numFmtId="0" fontId="42" fillId="17" borderId="1" xfId="6" applyFont="1" applyFill="1" applyBorder="1" applyAlignment="1">
      <alignment vertical="center" wrapText="1"/>
    </xf>
    <xf numFmtId="0" fontId="32" fillId="18" borderId="1" xfId="6" applyFont="1" applyFill="1" applyBorder="1" applyAlignment="1">
      <alignment vertical="center" wrapText="1"/>
    </xf>
    <xf numFmtId="0" fontId="7" fillId="0" borderId="0" xfId="2" applyFont="1" applyAlignment="1"/>
    <xf numFmtId="0" fontId="7" fillId="11" borderId="1" xfId="2" applyFont="1" applyFill="1" applyBorder="1" applyAlignment="1"/>
    <xf numFmtId="0" fontId="7" fillId="11" borderId="0" xfId="2" applyFont="1" applyFill="1" applyAlignment="1"/>
    <xf numFmtId="0" fontId="7" fillId="11" borderId="28" xfId="2" applyFont="1" applyFill="1" applyBorder="1" applyAlignment="1"/>
    <xf numFmtId="0" fontId="32" fillId="17" borderId="1" xfId="6" applyFont="1" applyFill="1" applyBorder="1" applyAlignment="1">
      <alignment vertical="center" wrapText="1"/>
    </xf>
    <xf numFmtId="0" fontId="7" fillId="0" borderId="1" xfId="2" applyFont="1" applyBorder="1" applyAlignment="1">
      <alignment vertical="center" wrapText="1"/>
    </xf>
    <xf numFmtId="0" fontId="32" fillId="0" borderId="0" xfId="6" applyFont="1" applyFill="1" applyBorder="1" applyAlignment="1">
      <alignment vertical="center" wrapText="1"/>
    </xf>
    <xf numFmtId="0" fontId="32" fillId="0" borderId="0" xfId="3" applyFont="1" applyAlignment="1">
      <alignment vertical="center" wrapText="1"/>
    </xf>
    <xf numFmtId="0" fontId="32" fillId="9" borderId="1" xfId="3" applyFont="1" applyFill="1" applyBorder="1" applyAlignment="1">
      <alignment vertical="center" wrapText="1"/>
    </xf>
    <xf numFmtId="0" fontId="32" fillId="9" borderId="0" xfId="3" applyFont="1" applyFill="1" applyAlignment="1">
      <alignment vertical="center" wrapText="1"/>
    </xf>
    <xf numFmtId="0" fontId="42" fillId="9" borderId="2" xfId="3" applyFont="1" applyFill="1" applyBorder="1" applyAlignment="1">
      <alignment vertical="center" wrapText="1"/>
    </xf>
    <xf numFmtId="0" fontId="42" fillId="19" borderId="0" xfId="3" applyFont="1" applyFill="1" applyAlignment="1">
      <alignment vertical="center" wrapText="1"/>
    </xf>
    <xf numFmtId="2" fontId="32" fillId="18" borderId="1" xfId="4" applyNumberFormat="1" applyFont="1" applyFill="1" applyBorder="1" applyAlignment="1">
      <alignment vertical="center" wrapText="1"/>
    </xf>
    <xf numFmtId="2" fontId="32" fillId="18" borderId="0" xfId="4" applyNumberFormat="1" applyFont="1" applyFill="1" applyBorder="1" applyAlignment="1">
      <alignment horizontal="right" vertical="center" wrapText="1"/>
    </xf>
    <xf numFmtId="2" fontId="32" fillId="18" borderId="0" xfId="4" applyNumberFormat="1" applyFont="1" applyFill="1" applyBorder="1" applyAlignment="1">
      <alignment vertical="center" wrapText="1"/>
    </xf>
    <xf numFmtId="2" fontId="32" fillId="9" borderId="1" xfId="1" applyNumberFormat="1" applyFont="1" applyFill="1" applyBorder="1" applyAlignment="1">
      <alignment vertical="center" wrapText="1"/>
    </xf>
    <xf numFmtId="2" fontId="32" fillId="9" borderId="0" xfId="1" applyNumberFormat="1" applyFont="1" applyFill="1" applyAlignment="1">
      <alignment vertical="center" wrapText="1"/>
    </xf>
    <xf numFmtId="2" fontId="32" fillId="0" borderId="2" xfId="4" applyNumberFormat="1" applyFont="1" applyFill="1" applyBorder="1" applyAlignment="1">
      <alignment vertical="center" wrapText="1"/>
    </xf>
    <xf numFmtId="2" fontId="32" fillId="0" borderId="0" xfId="5" applyNumberFormat="1" applyFont="1" applyAlignment="1">
      <alignment vertical="center" wrapText="1"/>
    </xf>
    <xf numFmtId="0" fontId="32" fillId="0" borderId="0" xfId="5" applyFont="1" applyAlignment="1">
      <alignment vertical="center" wrapText="1"/>
    </xf>
    <xf numFmtId="0" fontId="32" fillId="9" borderId="1" xfId="5" applyFont="1" applyFill="1" applyBorder="1" applyAlignment="1">
      <alignment vertical="center" wrapText="1"/>
    </xf>
    <xf numFmtId="0" fontId="32" fillId="9" borderId="0" xfId="5" applyFont="1" applyFill="1" applyAlignment="1">
      <alignment vertical="center" wrapText="1"/>
    </xf>
    <xf numFmtId="0" fontId="42" fillId="9" borderId="0" xfId="5" applyFont="1" applyFill="1" applyAlignment="1">
      <alignment vertical="center" wrapText="1"/>
    </xf>
    <xf numFmtId="0" fontId="42" fillId="9" borderId="2" xfId="5" applyFont="1" applyFill="1" applyBorder="1" applyAlignment="1">
      <alignment vertical="center" wrapText="1"/>
    </xf>
    <xf numFmtId="0" fontId="42" fillId="19" borderId="0" xfId="5" applyFont="1" applyFill="1" applyAlignment="1">
      <alignment vertical="center" wrapText="1"/>
    </xf>
    <xf numFmtId="2" fontId="32" fillId="0" borderId="1" xfId="4" applyNumberFormat="1" applyFont="1" applyFill="1" applyBorder="1" applyAlignment="1">
      <alignment vertical="center" wrapText="1"/>
    </xf>
    <xf numFmtId="165" fontId="32" fillId="9" borderId="1" xfId="1" applyNumberFormat="1" applyFont="1" applyFill="1" applyBorder="1" applyAlignment="1">
      <alignment vertical="center" wrapText="1"/>
    </xf>
    <xf numFmtId="2" fontId="32" fillId="9" borderId="29" xfId="1" applyNumberFormat="1" applyFont="1" applyFill="1" applyBorder="1" applyAlignment="1">
      <alignment vertical="center" wrapText="1"/>
    </xf>
    <xf numFmtId="166" fontId="7" fillId="0" borderId="1" xfId="2" applyNumberFormat="1" applyFont="1" applyBorder="1" applyAlignment="1">
      <alignment vertical="center" wrapText="1"/>
    </xf>
    <xf numFmtId="0" fontId="7" fillId="0" borderId="30" xfId="2" applyFont="1" applyBorder="1">
      <alignment vertical="center"/>
    </xf>
    <xf numFmtId="165" fontId="32" fillId="0" borderId="0" xfId="5" applyNumberFormat="1" applyFont="1" applyAlignment="1">
      <alignment vertical="center" wrapText="1"/>
    </xf>
    <xf numFmtId="0" fontId="32" fillId="9" borderId="21" xfId="5" applyFont="1" applyFill="1" applyBorder="1" applyAlignment="1">
      <alignment vertical="center" wrapText="1"/>
    </xf>
    <xf numFmtId="0" fontId="32" fillId="9" borderId="20" xfId="5" applyFont="1" applyFill="1" applyBorder="1" applyAlignment="1">
      <alignment vertical="center" wrapText="1"/>
    </xf>
    <xf numFmtId="0" fontId="42" fillId="9" borderId="20" xfId="5" applyFont="1" applyFill="1" applyBorder="1" applyAlignment="1">
      <alignment vertical="center" wrapText="1"/>
    </xf>
    <xf numFmtId="0" fontId="42" fillId="9" borderId="11" xfId="5" applyFont="1" applyFill="1" applyBorder="1" applyAlignment="1">
      <alignment vertical="center" wrapText="1"/>
    </xf>
    <xf numFmtId="0" fontId="42" fillId="20" borderId="31" xfId="6" applyFont="1" applyFill="1" applyBorder="1" applyAlignment="1">
      <alignment vertical="center" wrapText="1"/>
    </xf>
    <xf numFmtId="0" fontId="42" fillId="9" borderId="32" xfId="6" applyFont="1" applyFill="1" applyBorder="1" applyAlignment="1">
      <alignment vertical="center" wrapText="1"/>
    </xf>
    <xf numFmtId="0" fontId="42" fillId="9" borderId="33" xfId="2" applyFont="1" applyFill="1" applyBorder="1" applyAlignment="1">
      <alignment vertical="center" wrapText="1"/>
    </xf>
    <xf numFmtId="0" fontId="42" fillId="0" borderId="32" xfId="4" applyNumberFormat="1" applyFont="1" applyFill="1" applyBorder="1" applyAlignment="1">
      <alignment vertical="center" wrapText="1"/>
    </xf>
    <xf numFmtId="0" fontId="32" fillId="0" borderId="33" xfId="2" applyFont="1" applyBorder="1" applyAlignment="1">
      <alignment vertical="center" wrapText="1"/>
    </xf>
    <xf numFmtId="0" fontId="32" fillId="9" borderId="32" xfId="1" applyFont="1" applyFill="1" applyBorder="1" applyAlignment="1">
      <alignment vertical="center" wrapText="1"/>
    </xf>
    <xf numFmtId="0" fontId="32" fillId="9" borderId="33" xfId="2" applyFont="1" applyFill="1" applyBorder="1" applyAlignment="1">
      <alignment vertical="center" wrapText="1"/>
    </xf>
    <xf numFmtId="0" fontId="32" fillId="9" borderId="32" xfId="2" applyFont="1" applyFill="1" applyBorder="1" applyAlignment="1">
      <alignment vertical="center" wrapText="1"/>
    </xf>
    <xf numFmtId="0" fontId="32" fillId="9" borderId="34" xfId="2" applyFont="1" applyFill="1" applyBorder="1" applyAlignment="1">
      <alignment vertical="center" wrapText="1"/>
    </xf>
    <xf numFmtId="0" fontId="7" fillId="0" borderId="34" xfId="2" applyFont="1" applyBorder="1" applyAlignment="1">
      <alignment vertical="center" wrapText="1"/>
    </xf>
    <xf numFmtId="0" fontId="32" fillId="0" borderId="35" xfId="2" applyFont="1" applyBorder="1" applyAlignment="1">
      <alignment vertical="center" wrapText="1"/>
    </xf>
    <xf numFmtId="0" fontId="42" fillId="9" borderId="1" xfId="2" applyFont="1" applyFill="1" applyBorder="1" applyAlignment="1">
      <alignment vertical="center" wrapText="1"/>
    </xf>
    <xf numFmtId="0" fontId="42" fillId="9" borderId="0" xfId="2" applyFont="1" applyFill="1" applyAlignment="1">
      <alignment vertical="center" wrapText="1"/>
    </xf>
    <xf numFmtId="0" fontId="42" fillId="11" borderId="0" xfId="2" applyFont="1" applyFill="1" applyAlignment="1">
      <alignment vertical="center" wrapText="1"/>
    </xf>
    <xf numFmtId="0" fontId="42" fillId="11" borderId="0" xfId="2" applyFont="1" applyFill="1">
      <alignment vertical="center"/>
    </xf>
    <xf numFmtId="0" fontId="32" fillId="11" borderId="0" xfId="2" applyFont="1" applyFill="1" applyAlignment="1">
      <alignment vertical="center" wrapText="1"/>
    </xf>
    <xf numFmtId="0" fontId="42" fillId="21" borderId="0" xfId="6" applyFont="1" applyFill="1" applyBorder="1" applyAlignment="1">
      <alignment vertical="center" wrapText="1"/>
    </xf>
    <xf numFmtId="0" fontId="7" fillId="11" borderId="0" xfId="2" applyFont="1" applyFill="1">
      <alignment vertical="center"/>
    </xf>
    <xf numFmtId="2" fontId="42" fillId="11" borderId="0" xfId="2" applyNumberFormat="1" applyFont="1" applyFill="1" applyAlignment="1">
      <alignment vertical="center" wrapText="1"/>
    </xf>
    <xf numFmtId="0" fontId="47" fillId="22" borderId="0" xfId="2" applyFont="1" applyFill="1" applyAlignment="1">
      <alignment vertical="center" wrapText="1"/>
    </xf>
    <xf numFmtId="0" fontId="42" fillId="18" borderId="0" xfId="7" applyFont="1" applyFill="1" applyBorder="1" applyAlignment="1">
      <alignment vertical="center"/>
    </xf>
    <xf numFmtId="0" fontId="42" fillId="18" borderId="0" xfId="7" applyFont="1" applyFill="1" applyBorder="1" applyAlignment="1">
      <alignment vertical="center" wrapText="1"/>
    </xf>
    <xf numFmtId="0" fontId="42" fillId="9" borderId="0" xfId="7" applyFont="1" applyFill="1" applyBorder="1" applyAlignment="1">
      <alignment vertical="center" wrapText="1"/>
    </xf>
    <xf numFmtId="0" fontId="42" fillId="0" borderId="0" xfId="2" applyFont="1">
      <alignment vertical="center"/>
    </xf>
    <xf numFmtId="0" fontId="42" fillId="9" borderId="0" xfId="7" applyFont="1" applyFill="1" applyBorder="1" applyAlignment="1">
      <alignment vertical="center"/>
    </xf>
    <xf numFmtId="0" fontId="42" fillId="9" borderId="0" xfId="2" applyFont="1" applyFill="1">
      <alignment vertical="center"/>
    </xf>
    <xf numFmtId="0" fontId="50" fillId="9" borderId="0" xfId="2" applyFont="1" applyFill="1">
      <alignment vertical="center"/>
    </xf>
    <xf numFmtId="0" fontId="42" fillId="22" borderId="0" xfId="2" applyFont="1" applyFill="1">
      <alignment vertical="center"/>
    </xf>
    <xf numFmtId="0" fontId="42" fillId="22" borderId="0" xfId="2" applyFont="1" applyFill="1" applyAlignment="1">
      <alignment vertical="center" wrapText="1"/>
    </xf>
    <xf numFmtId="0" fontId="51" fillId="9" borderId="0" xfId="2" applyFont="1" applyFill="1">
      <alignment vertical="center"/>
    </xf>
    <xf numFmtId="0" fontId="49" fillId="9" borderId="0" xfId="2" applyFont="1" applyFill="1">
      <alignment vertical="center"/>
    </xf>
    <xf numFmtId="0" fontId="49" fillId="0" borderId="0" xfId="2" applyFont="1" applyAlignment="1"/>
    <xf numFmtId="0" fontId="52" fillId="0" borderId="0" xfId="0" applyFont="1">
      <alignment vertical="center"/>
    </xf>
    <xf numFmtId="0" fontId="42" fillId="0" borderId="0" xfId="2" applyFont="1" applyAlignment="1"/>
    <xf numFmtId="0" fontId="28" fillId="23" borderId="36" xfId="2" applyFont="1" applyFill="1" applyBorder="1" applyAlignment="1"/>
    <xf numFmtId="0" fontId="7" fillId="23" borderId="36" xfId="2" applyFont="1" applyFill="1" applyBorder="1" applyAlignment="1"/>
    <xf numFmtId="0" fontId="7" fillId="24" borderId="36" xfId="2" applyFont="1" applyFill="1" applyBorder="1">
      <alignment vertical="center"/>
    </xf>
    <xf numFmtId="0" fontId="7" fillId="25" borderId="36" xfId="2" applyFont="1" applyFill="1" applyBorder="1" applyAlignment="1"/>
    <xf numFmtId="0" fontId="7" fillId="25" borderId="0" xfId="2" applyFont="1" applyFill="1" applyAlignment="1"/>
    <xf numFmtId="0" fontId="32" fillId="23" borderId="36" xfId="2" applyFont="1" applyFill="1" applyBorder="1" applyAlignment="1"/>
    <xf numFmtId="0" fontId="7" fillId="13" borderId="0" xfId="2" applyFont="1" applyFill="1" applyAlignment="1">
      <alignment vertical="center" wrapText="1"/>
    </xf>
    <xf numFmtId="0" fontId="7" fillId="13" borderId="0" xfId="2" applyFont="1" applyFill="1">
      <alignment vertical="center"/>
    </xf>
    <xf numFmtId="14" fontId="7" fillId="0" borderId="0" xfId="2" applyNumberFormat="1" applyFont="1">
      <alignment vertical="center"/>
    </xf>
    <xf numFmtId="167" fontId="7" fillId="0" borderId="0" xfId="2" applyNumberFormat="1" applyFont="1">
      <alignment vertical="center"/>
    </xf>
    <xf numFmtId="0" fontId="20" fillId="0" borderId="37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0" borderId="39" xfId="0" applyFont="1" applyBorder="1" applyAlignment="1">
      <alignment vertical="center" wrapText="1"/>
    </xf>
    <xf numFmtId="0" fontId="20" fillId="0" borderId="0" xfId="0" applyFont="1">
      <alignment vertical="center"/>
    </xf>
    <xf numFmtId="0" fontId="53" fillId="0" borderId="0" xfId="0" applyFont="1">
      <alignment vertical="center"/>
    </xf>
    <xf numFmtId="0" fontId="24" fillId="11" borderId="0" xfId="1" applyFont="1" applyFill="1" applyAlignment="1">
      <alignment horizontal="left" vertical="center" wrapText="1"/>
    </xf>
    <xf numFmtId="0" fontId="24" fillId="11" borderId="1" xfId="1" applyFont="1" applyFill="1" applyBorder="1" applyAlignment="1">
      <alignment horizontal="left" vertical="center" wrapText="1"/>
    </xf>
    <xf numFmtId="0" fontId="54" fillId="0" borderId="0" xfId="0" applyFont="1">
      <alignment vertical="center"/>
    </xf>
    <xf numFmtId="0" fontId="55" fillId="0" borderId="1" xfId="1" applyFont="1" applyBorder="1" applyAlignment="1">
      <alignment horizontal="left" vertical="center" wrapText="1"/>
    </xf>
    <xf numFmtId="0" fontId="56" fillId="11" borderId="0" xfId="1" applyFont="1" applyFill="1" applyAlignment="1">
      <alignment horizontal="left" vertical="center" wrapText="1"/>
    </xf>
    <xf numFmtId="0" fontId="56" fillId="14" borderId="0" xfId="1" applyFont="1" applyFill="1" applyAlignment="1">
      <alignment horizontal="left" vertical="center" wrapText="1"/>
    </xf>
    <xf numFmtId="0" fontId="25" fillId="11" borderId="1" xfId="1" applyFont="1" applyFill="1" applyBorder="1" applyAlignment="1">
      <alignment horizontal="left" vertical="center" wrapText="1"/>
    </xf>
    <xf numFmtId="0" fontId="25" fillId="11" borderId="0" xfId="1" applyFont="1" applyFill="1" applyAlignment="1">
      <alignment horizontal="left" vertical="center" wrapText="1"/>
    </xf>
    <xf numFmtId="0" fontId="33" fillId="11" borderId="0" xfId="1" applyFont="1" applyFill="1" applyAlignment="1">
      <alignment horizontal="left" vertical="center" wrapText="1"/>
    </xf>
    <xf numFmtId="0" fontId="10" fillId="11" borderId="0" xfId="2" applyFont="1" applyFill="1" applyAlignment="1">
      <alignment vertical="center" wrapText="1"/>
    </xf>
    <xf numFmtId="0" fontId="10" fillId="11" borderId="0" xfId="0" applyFont="1" applyFill="1">
      <alignment vertical="center"/>
    </xf>
    <xf numFmtId="0" fontId="32" fillId="11" borderId="0" xfId="2" applyFont="1" applyFill="1">
      <alignment vertical="center"/>
    </xf>
    <xf numFmtId="0" fontId="53" fillId="0" borderId="0" xfId="0" applyFont="1" applyAlignment="1">
      <alignment vertical="center" wrapText="1"/>
    </xf>
    <xf numFmtId="0" fontId="58" fillId="0" borderId="0" xfId="0" applyFont="1">
      <alignment vertical="center"/>
    </xf>
    <xf numFmtId="0" fontId="24" fillId="11" borderId="16" xfId="1" applyFont="1" applyFill="1" applyBorder="1" applyAlignment="1">
      <alignment horizontal="left" vertical="center" wrapText="1"/>
    </xf>
    <xf numFmtId="0" fontId="59" fillId="0" borderId="0" xfId="0" applyFont="1">
      <alignment vertical="center"/>
    </xf>
    <xf numFmtId="0" fontId="60" fillId="0" borderId="0" xfId="0" applyFont="1" applyAlignment="1">
      <alignment vertical="center" wrapText="1"/>
    </xf>
    <xf numFmtId="0" fontId="25" fillId="0" borderId="0" xfId="1" applyFont="1" applyAlignment="1">
      <alignment horizontal="left" vertical="center" wrapText="1"/>
    </xf>
    <xf numFmtId="0" fontId="29" fillId="0" borderId="0" xfId="2" applyFont="1">
      <alignment vertical="center"/>
    </xf>
    <xf numFmtId="0" fontId="10" fillId="8" borderId="15" xfId="1" applyFont="1" applyFill="1" applyBorder="1" applyAlignment="1">
      <alignment horizontal="center" vertical="center" wrapText="1"/>
    </xf>
    <xf numFmtId="0" fontId="22" fillId="9" borderId="4" xfId="1" applyFont="1" applyFill="1" applyBorder="1" applyAlignment="1">
      <alignment horizontal="center" vertical="center" wrapText="1"/>
    </xf>
    <xf numFmtId="0" fontId="22" fillId="9" borderId="3" xfId="1" applyFont="1" applyFill="1" applyBorder="1" applyAlignment="1">
      <alignment horizontal="right" vertical="center" wrapText="1"/>
    </xf>
    <xf numFmtId="0" fontId="11" fillId="11" borderId="3" xfId="2" applyFont="1" applyFill="1" applyBorder="1" applyAlignment="1">
      <alignment horizontal="right" vertical="center"/>
    </xf>
    <xf numFmtId="0" fontId="22" fillId="9" borderId="40" xfId="1" applyFont="1" applyFill="1" applyBorder="1" applyAlignment="1">
      <alignment horizontal="right" vertical="center" wrapText="1"/>
    </xf>
    <xf numFmtId="0" fontId="22" fillId="0" borderId="4" xfId="1" applyFont="1" applyBorder="1" applyAlignment="1">
      <alignment horizontal="left" vertical="center" wrapText="1"/>
    </xf>
    <xf numFmtId="0" fontId="22" fillId="0" borderId="3" xfId="1" applyFont="1" applyBorder="1" applyAlignment="1">
      <alignment horizontal="right" vertical="center" wrapText="1"/>
    </xf>
    <xf numFmtId="0" fontId="22" fillId="0" borderId="3" xfId="2" applyFont="1" applyBorder="1">
      <alignment vertical="center"/>
    </xf>
    <xf numFmtId="0" fontId="22" fillId="0" borderId="3" xfId="1" applyFont="1" applyBorder="1" applyAlignment="1">
      <alignment vertical="center" wrapText="1"/>
    </xf>
    <xf numFmtId="0" fontId="35" fillId="0" borderId="14" xfId="0" applyFont="1" applyBorder="1" applyAlignment="1">
      <alignment vertical="center" wrapText="1"/>
    </xf>
    <xf numFmtId="0" fontId="59" fillId="0" borderId="14" xfId="0" applyFont="1" applyBorder="1">
      <alignment vertical="center"/>
    </xf>
    <xf numFmtId="0" fontId="56" fillId="11" borderId="1" xfId="1" applyFont="1" applyFill="1" applyBorder="1" applyAlignment="1">
      <alignment horizontal="left" vertical="center" wrapText="1"/>
    </xf>
    <xf numFmtId="0" fontId="54" fillId="0" borderId="0" xfId="0" applyFont="1" applyAlignment="1">
      <alignment vertical="center" wrapText="1"/>
    </xf>
    <xf numFmtId="0" fontId="7" fillId="0" borderId="2" xfId="2" applyFont="1" applyBorder="1">
      <alignment vertical="center"/>
    </xf>
    <xf numFmtId="2" fontId="12" fillId="0" borderId="4" xfId="1" applyNumberFormat="1" applyFont="1" applyBorder="1" applyAlignment="1">
      <alignment horizontal="left" vertical="center" wrapText="1"/>
    </xf>
    <xf numFmtId="2" fontId="12" fillId="0" borderId="3" xfId="1" applyNumberFormat="1" applyFont="1" applyBorder="1" applyAlignment="1">
      <alignment horizontal="left" vertical="center" wrapText="1"/>
    </xf>
    <xf numFmtId="49" fontId="22" fillId="0" borderId="2" xfId="1" applyNumberFormat="1" applyFont="1" applyBorder="1" applyAlignment="1">
      <alignment horizontal="left" vertical="center" wrapText="1"/>
    </xf>
    <xf numFmtId="0" fontId="35" fillId="11" borderId="0" xfId="1" applyFont="1" applyFill="1" applyAlignment="1">
      <alignment horizontal="right" vertical="center" wrapText="1"/>
    </xf>
    <xf numFmtId="0" fontId="22" fillId="0" borderId="2" xfId="2" applyFont="1" applyBorder="1" applyAlignment="1">
      <alignment horizontal="left" vertical="center" wrapText="1"/>
    </xf>
    <xf numFmtId="49" fontId="22" fillId="0" borderId="2" xfId="1" applyNumberFormat="1" applyFont="1" applyBorder="1" applyAlignment="1">
      <alignment vertical="center" wrapText="1"/>
    </xf>
    <xf numFmtId="0" fontId="11" fillId="0" borderId="0" xfId="2" applyFont="1" applyAlignment="1">
      <alignment horizontal="left" vertical="center" wrapText="1"/>
    </xf>
    <xf numFmtId="0" fontId="11" fillId="0" borderId="1" xfId="2" applyFont="1" applyBorder="1" applyAlignment="1">
      <alignment horizontal="right" vertical="center"/>
    </xf>
    <xf numFmtId="49" fontId="22" fillId="11" borderId="2" xfId="1" applyNumberFormat="1" applyFont="1" applyFill="1" applyBorder="1" applyAlignment="1">
      <alignment vertical="center" wrapText="1"/>
    </xf>
    <xf numFmtId="0" fontId="61" fillId="11" borderId="0" xfId="1" applyFont="1" applyFill="1" applyAlignment="1">
      <alignment horizontal="left" vertical="center" wrapText="1"/>
    </xf>
    <xf numFmtId="49" fontId="15" fillId="0" borderId="0" xfId="1" applyNumberFormat="1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165" fontId="17" fillId="11" borderId="0" xfId="2" applyNumberFormat="1" applyFont="1" applyFill="1" applyAlignment="1">
      <alignment horizontal="right" vertical="center"/>
    </xf>
    <xf numFmtId="0" fontId="10" fillId="8" borderId="27" xfId="1" applyFont="1" applyFill="1" applyBorder="1" applyAlignment="1">
      <alignment horizontal="center" vertical="center" wrapText="1"/>
    </xf>
    <xf numFmtId="0" fontId="25" fillId="11" borderId="8" xfId="1" applyFont="1" applyFill="1" applyBorder="1" applyAlignment="1">
      <alignment horizontal="left" vertical="center" wrapText="1"/>
    </xf>
    <xf numFmtId="0" fontId="11" fillId="11" borderId="0" xfId="2" applyFont="1" applyFill="1" applyAlignment="1">
      <alignment horizontal="center" vertical="center" wrapText="1"/>
    </xf>
    <xf numFmtId="0" fontId="11" fillId="11" borderId="2" xfId="2" applyFont="1" applyFill="1" applyBorder="1" applyAlignment="1">
      <alignment horizontal="center" vertical="center" wrapText="1"/>
    </xf>
    <xf numFmtId="0" fontId="35" fillId="0" borderId="1" xfId="0" applyFont="1" applyBorder="1" applyAlignment="1">
      <alignment vertical="center" wrapText="1"/>
    </xf>
    <xf numFmtId="0" fontId="55" fillId="11" borderId="8" xfId="1" applyFont="1" applyFill="1" applyBorder="1" applyAlignment="1">
      <alignment horizontal="left" vertical="center" wrapText="1"/>
    </xf>
    <xf numFmtId="0" fontId="33" fillId="11" borderId="1" xfId="1" applyFont="1" applyFill="1" applyBorder="1" applyAlignment="1">
      <alignment horizontal="left" vertical="center" wrapText="1"/>
    </xf>
    <xf numFmtId="0" fontId="63" fillId="11" borderId="1" xfId="1" applyFont="1" applyFill="1" applyBorder="1" applyAlignment="1">
      <alignment horizontal="left" vertical="center" wrapText="1"/>
    </xf>
    <xf numFmtId="0" fontId="64" fillId="0" borderId="0" xfId="0" applyFont="1" applyAlignment="1">
      <alignment vertical="center" wrapText="1"/>
    </xf>
    <xf numFmtId="0" fontId="12" fillId="0" borderId="0" xfId="1" applyFont="1" applyAlignment="1">
      <alignment horizontal="right" vertical="center" wrapText="1"/>
    </xf>
    <xf numFmtId="0" fontId="63" fillId="11" borderId="8" xfId="1" applyFont="1" applyFill="1" applyBorder="1" applyAlignment="1">
      <alignment horizontal="left" vertical="center" wrapText="1"/>
    </xf>
    <xf numFmtId="0" fontId="64" fillId="0" borderId="0" xfId="0" applyFont="1">
      <alignment vertical="center"/>
    </xf>
    <xf numFmtId="0" fontId="22" fillId="11" borderId="0" xfId="1" applyFont="1" applyFill="1" applyAlignment="1">
      <alignment horizontal="right" vertical="center" wrapText="1"/>
    </xf>
    <xf numFmtId="0" fontId="11" fillId="11" borderId="0" xfId="2" applyFont="1" applyFill="1" applyAlignment="1">
      <alignment horizontal="right" vertical="center"/>
    </xf>
    <xf numFmtId="0" fontId="22" fillId="0" borderId="40" xfId="1" applyFont="1" applyBorder="1" applyAlignment="1">
      <alignment vertical="center" wrapText="1"/>
    </xf>
    <xf numFmtId="0" fontId="65" fillId="11" borderId="1" xfId="1" applyFont="1" applyFill="1" applyBorder="1" applyAlignment="1">
      <alignment horizontal="left" vertical="center" wrapText="1"/>
    </xf>
    <xf numFmtId="0" fontId="22" fillId="11" borderId="0" xfId="1" applyFont="1" applyFill="1" applyAlignment="1">
      <alignment horizontal="center" vertical="center"/>
    </xf>
    <xf numFmtId="0" fontId="22" fillId="0" borderId="40" xfId="2" applyFont="1" applyBorder="1">
      <alignment vertical="center"/>
    </xf>
    <xf numFmtId="0" fontId="23" fillId="8" borderId="20" xfId="1" applyFont="1" applyFill="1" applyBorder="1" applyAlignment="1">
      <alignment horizontal="right" vertical="center" wrapText="1"/>
    </xf>
    <xf numFmtId="0" fontId="64" fillId="0" borderId="14" xfId="0" applyFont="1" applyBorder="1">
      <alignment vertical="center"/>
    </xf>
    <xf numFmtId="0" fontId="64" fillId="0" borderId="1" xfId="0" applyFont="1" applyBorder="1">
      <alignment vertical="center"/>
    </xf>
    <xf numFmtId="0" fontId="3" fillId="6" borderId="40" xfId="1" applyFont="1" applyFill="1" applyBorder="1" applyAlignment="1">
      <alignment horizontal="center" vertical="center" wrapText="1"/>
    </xf>
    <xf numFmtId="0" fontId="11" fillId="0" borderId="1" xfId="2" applyFont="1" applyBorder="1" applyAlignment="1">
      <alignment horizontal="right" vertical="center" wrapText="1"/>
    </xf>
    <xf numFmtId="0" fontId="12" fillId="0" borderId="1" xfId="1" applyFont="1" applyBorder="1" applyAlignment="1">
      <alignment horizontal="right" vertical="center" wrapText="1"/>
    </xf>
    <xf numFmtId="0" fontId="22" fillId="11" borderId="1" xfId="1" applyFont="1" applyFill="1" applyBorder="1" applyAlignment="1">
      <alignment horizontal="center" vertical="center"/>
    </xf>
    <xf numFmtId="0" fontId="11" fillId="11" borderId="1" xfId="2" applyFont="1" applyFill="1" applyBorder="1" applyAlignment="1">
      <alignment horizontal="center" vertical="center" wrapText="1"/>
    </xf>
    <xf numFmtId="2" fontId="12" fillId="11" borderId="1" xfId="1" applyNumberFormat="1" applyFont="1" applyFill="1" applyBorder="1" applyAlignment="1">
      <alignment horizontal="left" vertical="center" wrapText="1"/>
    </xf>
    <xf numFmtId="0" fontId="35" fillId="0" borderId="27" xfId="0" applyFont="1" applyBorder="1" applyAlignment="1">
      <alignment vertical="center" wrapText="1"/>
    </xf>
    <xf numFmtId="0" fontId="69" fillId="11" borderId="1" xfId="1" applyFont="1" applyFill="1" applyBorder="1" applyAlignment="1">
      <alignment horizontal="left" vertical="center" wrapText="1"/>
    </xf>
    <xf numFmtId="0" fontId="11" fillId="11" borderId="0" xfId="2" applyFont="1" applyFill="1">
      <alignment vertical="center"/>
    </xf>
    <xf numFmtId="0" fontId="29" fillId="11" borderId="1" xfId="2" applyFont="1" applyFill="1" applyBorder="1">
      <alignment vertical="center"/>
    </xf>
    <xf numFmtId="0" fontId="66" fillId="11" borderId="1" xfId="1" applyFont="1" applyFill="1" applyBorder="1" applyAlignment="1">
      <alignment horizontal="left" vertical="center" wrapText="1"/>
    </xf>
    <xf numFmtId="0" fontId="70" fillId="11" borderId="1" xfId="1" applyFont="1" applyFill="1" applyBorder="1" applyAlignment="1">
      <alignment horizontal="left" vertical="center" wrapText="1"/>
    </xf>
    <xf numFmtId="0" fontId="68" fillId="11" borderId="16" xfId="1" applyFont="1" applyFill="1" applyBorder="1" applyAlignment="1">
      <alignment horizontal="left" vertical="center" wrapText="1"/>
    </xf>
    <xf numFmtId="0" fontId="67" fillId="14" borderId="0" xfId="1" applyFont="1" applyFill="1" applyAlignment="1">
      <alignment horizontal="left" vertical="center" wrapText="1"/>
    </xf>
    <xf numFmtId="0" fontId="68" fillId="14" borderId="1" xfId="1" applyFont="1" applyFill="1" applyBorder="1" applyAlignment="1">
      <alignment horizontal="left" vertical="center" wrapText="1"/>
    </xf>
    <xf numFmtId="0" fontId="10" fillId="14" borderId="0" xfId="1" applyFont="1" applyFill="1" applyAlignment="1">
      <alignment horizontal="left" vertical="center" wrapText="1"/>
    </xf>
    <xf numFmtId="0" fontId="68" fillId="14" borderId="0" xfId="1" applyFont="1" applyFill="1" applyAlignment="1">
      <alignment horizontal="left" vertical="center" wrapText="1"/>
    </xf>
    <xf numFmtId="0" fontId="73" fillId="11" borderId="1" xfId="1" applyFont="1" applyFill="1" applyBorder="1" applyAlignment="1">
      <alignment horizontal="left" vertical="center" wrapText="1"/>
    </xf>
    <xf numFmtId="0" fontId="68" fillId="14" borderId="16" xfId="1" applyFont="1" applyFill="1" applyBorder="1" applyAlignment="1">
      <alignment horizontal="left" vertical="center" wrapText="1"/>
    </xf>
    <xf numFmtId="0" fontId="75" fillId="0" borderId="1" xfId="2" applyFont="1" applyBorder="1">
      <alignment vertical="center"/>
    </xf>
    <xf numFmtId="0" fontId="76" fillId="11" borderId="1" xfId="1" applyFont="1" applyFill="1" applyBorder="1" applyAlignment="1">
      <alignment horizontal="left" vertical="center" wrapText="1"/>
    </xf>
    <xf numFmtId="0" fontId="29" fillId="11" borderId="1" xfId="2" applyFont="1" applyFill="1" applyBorder="1" applyAlignment="1">
      <alignment vertical="center" wrapText="1"/>
    </xf>
    <xf numFmtId="0" fontId="11" fillId="0" borderId="0" xfId="0" applyFont="1">
      <alignment vertical="center"/>
    </xf>
    <xf numFmtId="0" fontId="68" fillId="11" borderId="0" xfId="1" applyFont="1" applyFill="1" applyAlignment="1">
      <alignment horizontal="left" vertical="center" wrapText="1"/>
    </xf>
    <xf numFmtId="0" fontId="77" fillId="0" borderId="1" xfId="2" applyFont="1" applyBorder="1">
      <alignment vertical="center"/>
    </xf>
    <xf numFmtId="0" fontId="77" fillId="0" borderId="0" xfId="2" applyFont="1" applyAlignment="1">
      <alignment horizontal="right" vertical="center" wrapText="1"/>
    </xf>
    <xf numFmtId="0" fontId="77" fillId="0" borderId="0" xfId="2" applyFont="1">
      <alignment vertical="center"/>
    </xf>
    <xf numFmtId="0" fontId="77" fillId="0" borderId="0" xfId="2" applyFont="1" applyAlignment="1">
      <alignment horizontal="right" vertical="center"/>
    </xf>
    <xf numFmtId="0" fontId="77" fillId="0" borderId="8" xfId="2" applyFont="1" applyBorder="1">
      <alignment vertical="center"/>
    </xf>
    <xf numFmtId="0" fontId="78" fillId="0" borderId="2" xfId="1" applyFont="1" applyBorder="1" applyAlignment="1">
      <alignment horizontal="right" vertical="center" wrapText="1"/>
    </xf>
    <xf numFmtId="0" fontId="78" fillId="9" borderId="0" xfId="1" applyFont="1" applyFill="1" applyAlignment="1">
      <alignment horizontal="right" vertical="center" wrapText="1"/>
    </xf>
    <xf numFmtId="0" fontId="77" fillId="0" borderId="1" xfId="2" applyFont="1" applyBorder="1" applyAlignment="1">
      <alignment horizontal="left" vertical="center" wrapText="1"/>
    </xf>
    <xf numFmtId="0" fontId="77" fillId="0" borderId="1" xfId="2" applyFont="1" applyBorder="1" applyAlignment="1">
      <alignment horizontal="right" vertical="center" wrapText="1"/>
    </xf>
    <xf numFmtId="165" fontId="77" fillId="0" borderId="1" xfId="2" applyNumberFormat="1" applyFont="1" applyBorder="1" applyAlignment="1">
      <alignment horizontal="left" vertical="center"/>
    </xf>
    <xf numFmtId="0" fontId="77" fillId="0" borderId="1" xfId="2" applyFont="1" applyBorder="1" applyAlignment="1">
      <alignment vertical="center" wrapText="1"/>
    </xf>
    <xf numFmtId="0" fontId="78" fillId="0" borderId="0" xfId="1" applyFont="1" applyAlignment="1">
      <alignment horizontal="left" vertical="center" wrapText="1"/>
    </xf>
    <xf numFmtId="0" fontId="78" fillId="0" borderId="0" xfId="1" applyFont="1" applyAlignment="1">
      <alignment horizontal="right" vertical="center" wrapText="1"/>
    </xf>
    <xf numFmtId="0" fontId="78" fillId="0" borderId="1" xfId="1" applyFont="1" applyBorder="1" applyAlignment="1">
      <alignment horizontal="right" vertical="center" wrapText="1"/>
    </xf>
    <xf numFmtId="0" fontId="78" fillId="0" borderId="2" xfId="1" applyFont="1" applyBorder="1" applyAlignment="1">
      <alignment horizontal="left" vertical="center" wrapText="1"/>
    </xf>
    <xf numFmtId="0" fontId="78" fillId="9" borderId="1" xfId="1" applyFont="1" applyFill="1" applyBorder="1" applyAlignment="1">
      <alignment horizontal="left" vertical="center" wrapText="1"/>
    </xf>
    <xf numFmtId="0" fontId="78" fillId="12" borderId="0" xfId="1" applyFont="1" applyFill="1" applyAlignment="1">
      <alignment horizontal="right" vertical="center" wrapText="1"/>
    </xf>
    <xf numFmtId="0" fontId="78" fillId="9" borderId="1" xfId="1" applyFont="1" applyFill="1" applyBorder="1" applyAlignment="1">
      <alignment horizontal="right" vertical="center" wrapText="1"/>
    </xf>
    <xf numFmtId="0" fontId="78" fillId="9" borderId="1" xfId="3" applyFont="1" applyFill="1" applyBorder="1" applyAlignment="1">
      <alignment horizontal="right" vertical="center" wrapText="1"/>
    </xf>
    <xf numFmtId="0" fontId="78" fillId="11" borderId="1" xfId="1" applyFont="1" applyFill="1" applyBorder="1" applyAlignment="1">
      <alignment horizontal="right" vertical="center" wrapText="1"/>
    </xf>
    <xf numFmtId="0" fontId="78" fillId="13" borderId="2" xfId="1" applyFont="1" applyFill="1" applyBorder="1" applyAlignment="1">
      <alignment horizontal="right" vertical="center" wrapText="1"/>
    </xf>
    <xf numFmtId="0" fontId="79" fillId="11" borderId="1" xfId="1" applyFont="1" applyFill="1" applyBorder="1" applyAlignment="1">
      <alignment horizontal="center" vertical="center" wrapText="1"/>
    </xf>
    <xf numFmtId="0" fontId="79" fillId="11" borderId="0" xfId="1" applyFont="1" applyFill="1" applyAlignment="1">
      <alignment horizontal="right" vertical="center" wrapText="1"/>
    </xf>
    <xf numFmtId="0" fontId="78" fillId="11" borderId="0" xfId="1" applyFont="1" applyFill="1" applyAlignment="1">
      <alignment horizontal="right" vertical="center" wrapText="1"/>
    </xf>
    <xf numFmtId="0" fontId="77" fillId="11" borderId="1" xfId="2" applyFont="1" applyFill="1" applyBorder="1">
      <alignment vertical="center"/>
    </xf>
    <xf numFmtId="0" fontId="78" fillId="9" borderId="0" xfId="1" applyFont="1" applyFill="1" applyAlignment="1">
      <alignment horizontal="left" vertical="center" wrapText="1"/>
    </xf>
    <xf numFmtId="0" fontId="78" fillId="11" borderId="1" xfId="3" applyFont="1" applyFill="1" applyBorder="1" applyAlignment="1">
      <alignment horizontal="right" vertical="center" wrapText="1"/>
    </xf>
    <xf numFmtId="0" fontId="79" fillId="11" borderId="0" xfId="1" applyFont="1" applyFill="1" applyAlignment="1">
      <alignment horizontal="center" vertical="center"/>
    </xf>
    <xf numFmtId="0" fontId="79" fillId="11" borderId="1" xfId="1" applyFont="1" applyFill="1" applyBorder="1" applyAlignment="1">
      <alignment horizontal="center" vertical="center"/>
    </xf>
    <xf numFmtId="0" fontId="79" fillId="9" borderId="4" xfId="1" applyFont="1" applyFill="1" applyBorder="1" applyAlignment="1">
      <alignment horizontal="center" vertical="center" wrapText="1"/>
    </xf>
    <xf numFmtId="0" fontId="79" fillId="9" borderId="40" xfId="1" applyFont="1" applyFill="1" applyBorder="1" applyAlignment="1">
      <alignment horizontal="right" vertical="center" wrapText="1"/>
    </xf>
    <xf numFmtId="0" fontId="77" fillId="11" borderId="4" xfId="2" applyFont="1" applyFill="1" applyBorder="1" applyAlignment="1">
      <alignment vertical="center" wrapText="1"/>
    </xf>
    <xf numFmtId="0" fontId="77" fillId="11" borderId="0" xfId="2" applyFont="1" applyFill="1" applyAlignment="1">
      <alignment horizontal="right" vertical="center"/>
    </xf>
    <xf numFmtId="0" fontId="79" fillId="9" borderId="4" xfId="1" applyFont="1" applyFill="1" applyBorder="1" applyAlignment="1">
      <alignment horizontal="left" vertical="center" wrapText="1"/>
    </xf>
    <xf numFmtId="0" fontId="79" fillId="0" borderId="4" xfId="1" applyFont="1" applyBorder="1" applyAlignment="1">
      <alignment horizontal="left" vertical="center" wrapText="1"/>
    </xf>
    <xf numFmtId="0" fontId="79" fillId="0" borderId="40" xfId="1" applyFont="1" applyBorder="1" applyAlignment="1">
      <alignment vertical="center" wrapText="1"/>
    </xf>
    <xf numFmtId="0" fontId="79" fillId="0" borderId="40" xfId="2" applyFont="1" applyBorder="1">
      <alignment vertical="center"/>
    </xf>
    <xf numFmtId="0" fontId="79" fillId="9" borderId="3" xfId="1" applyFont="1" applyFill="1" applyBorder="1" applyAlignment="1">
      <alignment horizontal="right" vertical="center" wrapText="1"/>
    </xf>
    <xf numFmtId="0" fontId="80" fillId="11" borderId="8" xfId="1" applyFont="1" applyFill="1" applyBorder="1" applyAlignment="1">
      <alignment horizontal="left" vertical="center" wrapText="1"/>
    </xf>
    <xf numFmtId="0" fontId="77" fillId="0" borderId="13" xfId="2" applyFont="1" applyBorder="1" applyAlignment="1">
      <alignment vertical="center" wrapText="1"/>
    </xf>
    <xf numFmtId="0" fontId="80" fillId="0" borderId="8" xfId="1" applyFont="1" applyBorder="1" applyAlignment="1">
      <alignment horizontal="left" vertical="center" wrapText="1"/>
    </xf>
    <xf numFmtId="0" fontId="81" fillId="11" borderId="8" xfId="1" applyFont="1" applyFill="1" applyBorder="1" applyAlignment="1">
      <alignment horizontal="left" vertical="center" wrapText="1"/>
    </xf>
    <xf numFmtId="0" fontId="77" fillId="0" borderId="0" xfId="2" applyFont="1" applyAlignment="1">
      <alignment vertical="center" wrapText="1"/>
    </xf>
    <xf numFmtId="0" fontId="80" fillId="11" borderId="1" xfId="1" applyFont="1" applyFill="1" applyBorder="1" applyAlignment="1">
      <alignment horizontal="left" vertical="center" wrapText="1"/>
    </xf>
    <xf numFmtId="0" fontId="77" fillId="0" borderId="2" xfId="2" applyFont="1" applyBorder="1" applyAlignment="1">
      <alignment vertical="center" wrapText="1"/>
    </xf>
    <xf numFmtId="0" fontId="83" fillId="11" borderId="1" xfId="1" applyFont="1" applyFill="1" applyBorder="1" applyAlignment="1">
      <alignment horizontal="left" vertical="center" wrapText="1"/>
    </xf>
    <xf numFmtId="0" fontId="77" fillId="11" borderId="0" xfId="2" applyFont="1" applyFill="1" applyAlignment="1">
      <alignment vertical="center" wrapText="1"/>
    </xf>
    <xf numFmtId="0" fontId="84" fillId="11" borderId="1" xfId="1" applyFont="1" applyFill="1" applyBorder="1" applyAlignment="1">
      <alignment horizontal="left" vertical="center" wrapText="1"/>
    </xf>
    <xf numFmtId="0" fontId="82" fillId="11" borderId="1" xfId="1" applyFont="1" applyFill="1" applyBorder="1" applyAlignment="1">
      <alignment horizontal="left" vertical="center" wrapText="1"/>
    </xf>
    <xf numFmtId="0" fontId="84" fillId="0" borderId="1" xfId="2" applyFont="1" applyBorder="1">
      <alignment vertical="center"/>
    </xf>
    <xf numFmtId="0" fontId="78" fillId="11" borderId="1" xfId="1" applyFont="1" applyFill="1" applyBorder="1" applyAlignment="1">
      <alignment horizontal="left" vertical="center" wrapText="1"/>
    </xf>
    <xf numFmtId="0" fontId="85" fillId="11" borderId="1" xfId="1" applyFont="1" applyFill="1" applyBorder="1" applyAlignment="1">
      <alignment horizontal="left" vertical="center" wrapText="1"/>
    </xf>
    <xf numFmtId="0" fontId="77" fillId="11" borderId="2" xfId="2" applyFont="1" applyFill="1" applyBorder="1" applyAlignment="1">
      <alignment vertical="center" wrapText="1"/>
    </xf>
    <xf numFmtId="0" fontId="81" fillId="11" borderId="1" xfId="1" applyFont="1" applyFill="1" applyBorder="1" applyAlignment="1">
      <alignment horizontal="left" vertical="center" wrapText="1"/>
    </xf>
    <xf numFmtId="0" fontId="86" fillId="0" borderId="1" xfId="2" applyFont="1" applyBorder="1">
      <alignment vertical="center"/>
    </xf>
    <xf numFmtId="0" fontId="77" fillId="11" borderId="0" xfId="2" applyFont="1" applyFill="1">
      <alignment vertical="center"/>
    </xf>
    <xf numFmtId="0" fontId="87" fillId="11" borderId="1" xfId="1" applyFont="1" applyFill="1" applyBorder="1" applyAlignment="1">
      <alignment horizontal="left" vertical="center" wrapText="1"/>
    </xf>
    <xf numFmtId="0" fontId="88" fillId="11" borderId="1" xfId="2" applyFont="1" applyFill="1" applyBorder="1">
      <alignment vertical="center"/>
    </xf>
    <xf numFmtId="0" fontId="77" fillId="0" borderId="2" xfId="2" applyFont="1" applyBorder="1" applyAlignment="1">
      <alignment horizontal="right" vertical="center"/>
    </xf>
    <xf numFmtId="0" fontId="89" fillId="11" borderId="0" xfId="1" applyFont="1" applyFill="1" applyAlignment="1">
      <alignment horizontal="right" vertical="center" wrapText="1"/>
    </xf>
    <xf numFmtId="0" fontId="90" fillId="11" borderId="1" xfId="1" applyFont="1" applyFill="1" applyBorder="1" applyAlignment="1">
      <alignment horizontal="left" vertical="center" wrapText="1"/>
    </xf>
    <xf numFmtId="49" fontId="79" fillId="11" borderId="2" xfId="1" applyNumberFormat="1" applyFont="1" applyFill="1" applyBorder="1" applyAlignment="1">
      <alignment vertical="center" wrapText="1"/>
    </xf>
    <xf numFmtId="49" fontId="79" fillId="0" borderId="0" xfId="1" applyNumberFormat="1" applyFont="1" applyAlignment="1">
      <alignment horizontal="left" vertical="center" wrapText="1"/>
    </xf>
    <xf numFmtId="0" fontId="91" fillId="11" borderId="1" xfId="1" applyFont="1" applyFill="1" applyBorder="1" applyAlignment="1">
      <alignment horizontal="left" vertical="center" wrapText="1"/>
    </xf>
    <xf numFmtId="0" fontId="79" fillId="0" borderId="0" xfId="2" applyFont="1">
      <alignment vertical="center"/>
    </xf>
    <xf numFmtId="0" fontId="79" fillId="0" borderId="1" xfId="2" applyFont="1" applyBorder="1" applyAlignment="1">
      <alignment vertical="center" wrapText="1"/>
    </xf>
    <xf numFmtId="0" fontId="79" fillId="0" borderId="2" xfId="1" quotePrefix="1" applyFont="1" applyBorder="1" applyAlignment="1">
      <alignment horizontal="left" vertical="center" wrapText="1"/>
    </xf>
    <xf numFmtId="2" fontId="78" fillId="11" borderId="21" xfId="1" applyNumberFormat="1" applyFont="1" applyFill="1" applyBorder="1" applyAlignment="1">
      <alignment horizontal="left" vertical="center" wrapText="1"/>
    </xf>
    <xf numFmtId="2" fontId="78" fillId="0" borderId="20" xfId="1" applyNumberFormat="1" applyFont="1" applyBorder="1" applyAlignment="1">
      <alignment horizontal="left" vertical="center" wrapText="1"/>
    </xf>
    <xf numFmtId="2" fontId="78" fillId="0" borderId="11" xfId="1" applyNumberFormat="1" applyFont="1" applyBorder="1" applyAlignment="1">
      <alignment horizontal="left" vertical="center" wrapText="1"/>
    </xf>
    <xf numFmtId="2" fontId="78" fillId="0" borderId="21" xfId="1" applyNumberFormat="1" applyFont="1" applyBorder="1" applyAlignment="1">
      <alignment horizontal="left" vertical="center" wrapText="1"/>
    </xf>
    <xf numFmtId="166" fontId="77" fillId="0" borderId="21" xfId="2" applyNumberFormat="1" applyFont="1" applyBorder="1" applyAlignment="1">
      <alignment horizontal="left" vertical="center" wrapText="1"/>
    </xf>
    <xf numFmtId="2" fontId="78" fillId="11" borderId="0" xfId="1" applyNumberFormat="1" applyFont="1" applyFill="1" applyAlignment="1">
      <alignment horizontal="left" vertical="center" wrapText="1"/>
    </xf>
    <xf numFmtId="0" fontId="77" fillId="11" borderId="1" xfId="2" applyFont="1" applyFill="1" applyBorder="1" applyAlignment="1">
      <alignment vertical="center" wrapText="1"/>
    </xf>
    <xf numFmtId="0" fontId="89" fillId="8" borderId="2" xfId="1" applyFont="1" applyFill="1" applyBorder="1" applyAlignment="1">
      <alignment horizontal="center" vertical="center" wrapText="1"/>
    </xf>
    <xf numFmtId="0" fontId="92" fillId="0" borderId="0" xfId="2" applyFont="1" applyAlignment="1">
      <alignment horizontal="left" vertical="center" wrapText="1" shrinkToFit="1"/>
    </xf>
    <xf numFmtId="0" fontId="92" fillId="0" borderId="1" xfId="2" applyFont="1" applyBorder="1" applyAlignment="1">
      <alignment vertical="center" wrapText="1"/>
    </xf>
    <xf numFmtId="0" fontId="92" fillId="0" borderId="0" xfId="2" applyFont="1" applyAlignment="1">
      <alignment vertical="center" wrapText="1"/>
    </xf>
    <xf numFmtId="2" fontId="93" fillId="0" borderId="0" xfId="1" applyNumberFormat="1" applyFont="1" applyAlignment="1">
      <alignment horizontal="left" vertical="center" wrapText="1"/>
    </xf>
    <xf numFmtId="2" fontId="93" fillId="11" borderId="1" xfId="1" applyNumberFormat="1" applyFont="1" applyFill="1" applyBorder="1" applyAlignment="1">
      <alignment horizontal="left" vertical="center" wrapText="1"/>
    </xf>
    <xf numFmtId="2" fontId="93" fillId="11" borderId="0" xfId="1" applyNumberFormat="1" applyFont="1" applyFill="1" applyAlignment="1">
      <alignment horizontal="left" vertical="center" wrapText="1"/>
    </xf>
    <xf numFmtId="0" fontId="92" fillId="11" borderId="1" xfId="2" applyFont="1" applyFill="1" applyBorder="1">
      <alignment vertical="center"/>
    </xf>
    <xf numFmtId="0" fontId="92" fillId="11" borderId="1" xfId="2" applyFont="1" applyFill="1" applyBorder="1" applyAlignment="1">
      <alignment vertical="center" wrapText="1"/>
    </xf>
    <xf numFmtId="0" fontId="92" fillId="0" borderId="1" xfId="2" applyFont="1" applyBorder="1" applyAlignment="1">
      <alignment horizontal="left" vertical="center" wrapText="1"/>
    </xf>
    <xf numFmtId="0" fontId="92" fillId="0" borderId="0" xfId="2" applyFont="1" applyAlignment="1">
      <alignment horizontal="left" vertical="center" wrapText="1"/>
    </xf>
    <xf numFmtId="0" fontId="92" fillId="0" borderId="0" xfId="2" applyFont="1" applyAlignment="1">
      <alignment horizontal="left" vertical="center"/>
    </xf>
    <xf numFmtId="0" fontId="78" fillId="0" borderId="9" xfId="1" applyFont="1" applyBorder="1" applyAlignment="1">
      <alignment horizontal="right" vertical="center" wrapText="1"/>
    </xf>
    <xf numFmtId="0" fontId="87" fillId="11" borderId="8" xfId="1" applyFont="1" applyFill="1" applyBorder="1" applyAlignment="1">
      <alignment horizontal="left" vertical="center" wrapText="1"/>
    </xf>
    <xf numFmtId="0" fontId="77" fillId="11" borderId="1" xfId="1" applyFont="1" applyFill="1" applyBorder="1" applyAlignment="1">
      <alignment horizontal="left" vertical="center" wrapText="1"/>
    </xf>
    <xf numFmtId="0" fontId="77" fillId="0" borderId="1" xfId="2" applyFont="1" applyBorder="1" applyAlignment="1">
      <alignment horizontal="right" vertical="center"/>
    </xf>
    <xf numFmtId="0" fontId="94" fillId="0" borderId="1" xfId="1" applyFont="1" applyBorder="1" applyAlignment="1">
      <alignment horizontal="left" vertical="center" wrapText="1"/>
    </xf>
    <xf numFmtId="0" fontId="79" fillId="0" borderId="2" xfId="2" applyFont="1" applyBorder="1" applyAlignment="1">
      <alignment horizontal="left" vertical="center" wrapText="1"/>
    </xf>
    <xf numFmtId="0" fontId="80" fillId="0" borderId="1" xfId="1" applyFont="1" applyBorder="1" applyAlignment="1">
      <alignment horizontal="left" vertical="center" wrapText="1"/>
    </xf>
    <xf numFmtId="0" fontId="77" fillId="11" borderId="0" xfId="2" applyFont="1" applyFill="1" applyAlignment="1">
      <alignment horizontal="center" vertical="center" wrapText="1"/>
    </xf>
    <xf numFmtId="0" fontId="77" fillId="11" borderId="1" xfId="2" applyFont="1" applyFill="1" applyBorder="1" applyAlignment="1">
      <alignment horizontal="center" vertical="center" wrapText="1"/>
    </xf>
    <xf numFmtId="0" fontId="94" fillId="11" borderId="1" xfId="1" applyFont="1" applyFill="1" applyBorder="1" applyAlignment="1">
      <alignment horizontal="left" vertical="center" wrapText="1"/>
    </xf>
    <xf numFmtId="0" fontId="92" fillId="0" borderId="0" xfId="2" applyFont="1" applyAlignment="1">
      <alignment horizontal="center" vertical="center" wrapText="1"/>
    </xf>
    <xf numFmtId="0" fontId="19" fillId="10" borderId="1" xfId="0" applyFont="1" applyFill="1" applyBorder="1" applyAlignment="1">
      <alignment vertical="top"/>
    </xf>
    <xf numFmtId="0" fontId="95" fillId="11" borderId="1" xfId="1" applyFont="1" applyFill="1" applyBorder="1" applyAlignment="1">
      <alignment horizontal="left" vertical="center" wrapText="1"/>
    </xf>
    <xf numFmtId="0" fontId="62" fillId="14" borderId="1" xfId="1" applyFont="1" applyFill="1" applyBorder="1" applyAlignment="1">
      <alignment horizontal="left" vertical="center" wrapText="1"/>
    </xf>
    <xf numFmtId="0" fontId="82" fillId="14" borderId="1" xfId="1" applyFont="1" applyFill="1" applyBorder="1" applyAlignment="1">
      <alignment horizontal="left" vertical="center" wrapText="1"/>
    </xf>
    <xf numFmtId="0" fontId="96" fillId="14" borderId="2" xfId="2" applyFont="1" applyFill="1" applyBorder="1">
      <alignment vertical="center"/>
    </xf>
    <xf numFmtId="0" fontId="77" fillId="14" borderId="0" xfId="2" applyFont="1" applyFill="1" applyAlignment="1">
      <alignment vertical="center" wrapText="1"/>
    </xf>
    <xf numFmtId="0" fontId="81" fillId="14" borderId="1" xfId="1" applyFont="1" applyFill="1" applyBorder="1" applyAlignment="1">
      <alignment horizontal="left" vertical="center" wrapText="1"/>
    </xf>
    <xf numFmtId="0" fontId="97" fillId="11" borderId="1" xfId="1" applyFont="1" applyFill="1" applyBorder="1" applyAlignment="1">
      <alignment horizontal="left" vertical="center" wrapText="1"/>
    </xf>
    <xf numFmtId="0" fontId="86" fillId="11" borderId="1" xfId="1" applyFont="1" applyFill="1" applyBorder="1" applyAlignment="1">
      <alignment horizontal="left" vertical="center" wrapText="1"/>
    </xf>
    <xf numFmtId="0" fontId="98" fillId="11" borderId="0" xfId="2" applyFont="1" applyFill="1" applyAlignment="1">
      <alignment vertical="center" wrapText="1"/>
    </xf>
    <xf numFmtId="0" fontId="98" fillId="0" borderId="0" xfId="2" applyFont="1">
      <alignment vertical="center"/>
    </xf>
    <xf numFmtId="0" fontId="98" fillId="11" borderId="0" xfId="2" applyFont="1" applyFill="1">
      <alignment vertical="center"/>
    </xf>
    <xf numFmtId="0" fontId="98" fillId="0" borderId="0" xfId="2" applyFont="1" applyAlignment="1">
      <alignment horizontal="right" vertical="center"/>
    </xf>
    <xf numFmtId="0" fontId="99" fillId="0" borderId="1" xfId="2" applyFont="1" applyBorder="1">
      <alignment vertical="center"/>
    </xf>
    <xf numFmtId="0" fontId="77" fillId="11" borderId="0" xfId="2" applyFont="1" applyFill="1" applyAlignment="1">
      <alignment horizontal="right" vertical="center" wrapText="1"/>
    </xf>
    <xf numFmtId="0" fontId="100" fillId="11" borderId="1" xfId="1" applyFont="1" applyFill="1" applyBorder="1" applyAlignment="1">
      <alignment horizontal="left" vertical="center" wrapText="1"/>
    </xf>
    <xf numFmtId="0" fontId="68" fillId="0" borderId="0" xfId="1" applyFont="1" applyAlignment="1">
      <alignment horizontal="left" vertical="center" wrapText="1"/>
    </xf>
    <xf numFmtId="0" fontId="77" fillId="11" borderId="0" xfId="2" applyFont="1" applyFill="1" applyAlignment="1">
      <alignment horizontal="left" vertical="center" wrapText="1"/>
    </xf>
    <xf numFmtId="0" fontId="35" fillId="0" borderId="2" xfId="0" applyFont="1" applyBorder="1" applyAlignment="1">
      <alignment vertical="center" wrapText="1"/>
    </xf>
    <xf numFmtId="0" fontId="64" fillId="0" borderId="1" xfId="0" applyFont="1" applyBorder="1" applyAlignment="1">
      <alignment vertical="center" wrapText="1"/>
    </xf>
    <xf numFmtId="0" fontId="62" fillId="14" borderId="16" xfId="1" applyFont="1" applyFill="1" applyBorder="1" applyAlignment="1">
      <alignment horizontal="left" vertical="center" wrapText="1"/>
    </xf>
    <xf numFmtId="0" fontId="90" fillId="0" borderId="1" xfId="2" applyFont="1" applyBorder="1">
      <alignment vertical="center"/>
    </xf>
    <xf numFmtId="0" fontId="55" fillId="0" borderId="13" xfId="2" applyFont="1" applyBorder="1" applyAlignment="1">
      <alignment vertical="center" wrapText="1"/>
    </xf>
    <xf numFmtId="0" fontId="55" fillId="0" borderId="0" xfId="2" applyFont="1" applyAlignment="1">
      <alignment vertical="center" wrapText="1"/>
    </xf>
    <xf numFmtId="0" fontId="55" fillId="0" borderId="2" xfId="2" applyFont="1" applyBorder="1" applyAlignment="1">
      <alignment vertical="center" wrapText="1"/>
    </xf>
    <xf numFmtId="0" fontId="55" fillId="11" borderId="0" xfId="2" applyFont="1" applyFill="1" applyAlignment="1">
      <alignment vertical="center" wrapText="1"/>
    </xf>
    <xf numFmtId="0" fontId="55" fillId="11" borderId="0" xfId="2" applyFont="1" applyFill="1">
      <alignment vertical="center"/>
    </xf>
    <xf numFmtId="0" fontId="55" fillId="11" borderId="1" xfId="1" applyFont="1" applyFill="1" applyBorder="1" applyAlignment="1">
      <alignment horizontal="left" vertical="center" wrapText="1"/>
    </xf>
    <xf numFmtId="0" fontId="55" fillId="0" borderId="0" xfId="2" applyFont="1">
      <alignment vertical="center"/>
    </xf>
    <xf numFmtId="0" fontId="55" fillId="0" borderId="1" xfId="2" applyFont="1" applyBorder="1">
      <alignment vertical="center"/>
    </xf>
    <xf numFmtId="0" fontId="55" fillId="11" borderId="2" xfId="2" applyFont="1" applyFill="1" applyBorder="1" applyAlignment="1">
      <alignment vertical="center" wrapText="1"/>
    </xf>
    <xf numFmtId="0" fontId="99" fillId="11" borderId="1" xfId="1" applyFont="1" applyFill="1" applyBorder="1" applyAlignment="1">
      <alignment horizontal="left" vertical="center" wrapText="1"/>
    </xf>
    <xf numFmtId="0" fontId="62" fillId="11" borderId="1" xfId="1" applyFont="1" applyFill="1" applyBorder="1" applyAlignment="1">
      <alignment horizontal="left" vertical="center" wrapText="1"/>
    </xf>
    <xf numFmtId="0" fontId="17" fillId="0" borderId="1" xfId="2" applyFont="1" applyBorder="1">
      <alignment vertical="center"/>
    </xf>
    <xf numFmtId="0" fontId="17" fillId="0" borderId="0" xfId="0" applyFont="1">
      <alignment vertical="center"/>
    </xf>
    <xf numFmtId="0" fontId="10" fillId="0" borderId="0" xfId="1" applyFont="1" applyAlignment="1">
      <alignment horizontal="left" vertical="center" wrapText="1"/>
    </xf>
    <xf numFmtId="0" fontId="63" fillId="14" borderId="1" xfId="1" applyFont="1" applyFill="1" applyBorder="1" applyAlignment="1">
      <alignment horizontal="left" vertical="center" wrapText="1"/>
    </xf>
    <xf numFmtId="0" fontId="55" fillId="14" borderId="0" xfId="2" applyFont="1" applyFill="1" applyAlignment="1">
      <alignment vertical="center" wrapText="1"/>
    </xf>
    <xf numFmtId="0" fontId="74" fillId="14" borderId="1" xfId="2" applyFont="1" applyFill="1" applyBorder="1">
      <alignment vertical="center"/>
    </xf>
    <xf numFmtId="0" fontId="11" fillId="14" borderId="0" xfId="2" applyFont="1" applyFill="1" applyAlignment="1">
      <alignment vertical="center" wrapText="1"/>
    </xf>
    <xf numFmtId="0" fontId="74" fillId="11" borderId="1" xfId="2" applyFont="1" applyFill="1" applyBorder="1">
      <alignment vertical="center"/>
    </xf>
    <xf numFmtId="0" fontId="56" fillId="0" borderId="0" xfId="2" applyFont="1" applyAlignment="1">
      <alignment vertical="center" wrapText="1"/>
    </xf>
    <xf numFmtId="0" fontId="67" fillId="14" borderId="40" xfId="1" applyFont="1" applyFill="1" applyBorder="1" applyAlignment="1">
      <alignment horizontal="left" vertical="center" wrapText="1"/>
    </xf>
    <xf numFmtId="0" fontId="11" fillId="0" borderId="14" xfId="2" applyFont="1" applyBorder="1">
      <alignment vertical="center"/>
    </xf>
    <xf numFmtId="0" fontId="17" fillId="0" borderId="0" xfId="2" applyFont="1" applyAlignment="1">
      <alignment horizontal="right" vertical="center" wrapText="1"/>
    </xf>
    <xf numFmtId="0" fontId="56" fillId="11" borderId="0" xfId="2" applyFont="1" applyFill="1" applyAlignment="1">
      <alignment vertical="center" wrapText="1"/>
    </xf>
    <xf numFmtId="0" fontId="101" fillId="0" borderId="0" xfId="2" applyFont="1" applyAlignment="1">
      <alignment horizontal="right" vertical="center"/>
    </xf>
    <xf numFmtId="0" fontId="67" fillId="11" borderId="0" xfId="1" applyFont="1" applyFill="1" applyAlignment="1">
      <alignment horizontal="left" vertical="center" wrapText="1"/>
    </xf>
    <xf numFmtId="0" fontId="93" fillId="11" borderId="8" xfId="1" applyFont="1" applyFill="1" applyBorder="1" applyAlignment="1">
      <alignment horizontal="left" vertical="center" wrapText="1"/>
    </xf>
    <xf numFmtId="0" fontId="92" fillId="0" borderId="13" xfId="2" applyFont="1" applyBorder="1" applyAlignment="1">
      <alignment vertical="center" wrapText="1"/>
    </xf>
    <xf numFmtId="0" fontId="93" fillId="11" borderId="1" xfId="1" applyFont="1" applyFill="1" applyBorder="1" applyAlignment="1">
      <alignment horizontal="left" vertical="center" wrapText="1"/>
    </xf>
    <xf numFmtId="0" fontId="93" fillId="0" borderId="1" xfId="1" applyFont="1" applyBorder="1" applyAlignment="1">
      <alignment horizontal="left" vertical="center" wrapText="1"/>
    </xf>
    <xf numFmtId="0" fontId="92" fillId="0" borderId="1" xfId="2" applyFont="1" applyBorder="1">
      <alignment vertical="center"/>
    </xf>
    <xf numFmtId="0" fontId="92" fillId="0" borderId="2" xfId="2" applyFont="1" applyBorder="1" applyAlignment="1">
      <alignment vertical="center" wrapText="1"/>
    </xf>
    <xf numFmtId="0" fontId="92" fillId="11" borderId="1" xfId="1" applyFont="1" applyFill="1" applyBorder="1" applyAlignment="1">
      <alignment horizontal="left" vertical="center" wrapText="1"/>
    </xf>
    <xf numFmtId="0" fontId="92" fillId="11" borderId="0" xfId="2" applyFont="1" applyFill="1" applyAlignment="1">
      <alignment vertical="center" wrapText="1"/>
    </xf>
    <xf numFmtId="0" fontId="92" fillId="0" borderId="0" xfId="2" applyFont="1">
      <alignment vertical="center"/>
    </xf>
    <xf numFmtId="0" fontId="104" fillId="11" borderId="1" xfId="1" applyFont="1" applyFill="1" applyBorder="1" applyAlignment="1">
      <alignment horizontal="left" vertical="center" wrapText="1"/>
    </xf>
    <xf numFmtId="0" fontId="105" fillId="11" borderId="1" xfId="1" applyFont="1" applyFill="1" applyBorder="1" applyAlignment="1">
      <alignment horizontal="left" vertical="center" wrapText="1"/>
    </xf>
    <xf numFmtId="0" fontId="104" fillId="0" borderId="1" xfId="2" applyFont="1" applyBorder="1">
      <alignment vertical="center"/>
    </xf>
    <xf numFmtId="0" fontId="92" fillId="11" borderId="8" xfId="1" applyFont="1" applyFill="1" applyBorder="1" applyAlignment="1">
      <alignment horizontal="left" vertical="center" wrapText="1"/>
    </xf>
    <xf numFmtId="0" fontId="73" fillId="11" borderId="0" xfId="1" applyFont="1" applyFill="1" applyAlignment="1">
      <alignment horizontal="left" vertical="center" wrapText="1"/>
    </xf>
    <xf numFmtId="0" fontId="62" fillId="14" borderId="0" xfId="1" applyFont="1" applyFill="1" applyAlignment="1">
      <alignment horizontal="left" vertical="center" wrapText="1"/>
    </xf>
    <xf numFmtId="0" fontId="108" fillId="0" borderId="1" xfId="2" applyFont="1" applyBorder="1">
      <alignment vertical="center"/>
    </xf>
    <xf numFmtId="0" fontId="36" fillId="0" borderId="22" xfId="4" applyFont="1" applyFill="1" applyBorder="1" applyAlignment="1">
      <alignment horizontal="left" vertical="center" wrapText="1"/>
    </xf>
    <xf numFmtId="0" fontId="73" fillId="0" borderId="0" xfId="1" applyFont="1" applyAlignment="1">
      <alignment horizontal="left" vertical="center" wrapText="1"/>
    </xf>
    <xf numFmtId="0" fontId="62" fillId="11" borderId="0" xfId="1" applyFont="1" applyFill="1" applyAlignment="1">
      <alignment horizontal="left" vertical="center" wrapText="1"/>
    </xf>
    <xf numFmtId="0" fontId="64" fillId="0" borderId="15" xfId="0" applyFont="1" applyBorder="1" applyAlignment="1">
      <alignment vertical="center" wrapText="1"/>
    </xf>
    <xf numFmtId="0" fontId="110" fillId="0" borderId="0" xfId="0" applyFont="1" applyAlignment="1">
      <alignment vertical="center" wrapText="1"/>
    </xf>
    <xf numFmtId="0" fontId="111" fillId="0" borderId="14" xfId="0" applyFont="1" applyBorder="1" applyAlignment="1">
      <alignment vertical="center" wrapText="1"/>
    </xf>
    <xf numFmtId="0" fontId="111" fillId="0" borderId="27" xfId="0" applyFont="1" applyBorder="1" applyAlignment="1">
      <alignment vertical="center" wrapText="1"/>
    </xf>
    <xf numFmtId="0" fontId="92" fillId="0" borderId="8" xfId="2" applyFont="1" applyBorder="1">
      <alignment vertical="center"/>
    </xf>
    <xf numFmtId="0" fontId="112" fillId="0" borderId="0" xfId="0" applyFont="1">
      <alignment vertical="center"/>
    </xf>
    <xf numFmtId="0" fontId="62" fillId="11" borderId="16" xfId="1" applyFont="1" applyFill="1" applyBorder="1" applyAlignment="1">
      <alignment horizontal="left" vertical="center" wrapText="1"/>
    </xf>
    <xf numFmtId="0" fontId="114" fillId="0" borderId="1" xfId="2" applyFont="1" applyBorder="1">
      <alignment vertical="center"/>
    </xf>
    <xf numFmtId="0" fontId="116" fillId="11" borderId="1" xfId="1" applyFont="1" applyFill="1" applyBorder="1" applyAlignment="1">
      <alignment horizontal="left" vertical="center" wrapText="1"/>
    </xf>
    <xf numFmtId="0" fontId="115" fillId="11" borderId="1" xfId="1" applyFont="1" applyFill="1" applyBorder="1" applyAlignment="1">
      <alignment horizontal="left" vertical="center" wrapText="1"/>
    </xf>
    <xf numFmtId="0" fontId="117" fillId="0" borderId="1" xfId="2" applyFont="1" applyBorder="1">
      <alignment vertical="center"/>
    </xf>
    <xf numFmtId="0" fontId="62" fillId="0" borderId="16" xfId="1" applyFont="1" applyBorder="1" applyAlignment="1">
      <alignment horizontal="left" vertical="center" wrapText="1"/>
    </xf>
    <xf numFmtId="0" fontId="11" fillId="26" borderId="0" xfId="2" applyFont="1" applyFill="1" applyAlignment="1">
      <alignment vertical="center" wrapText="1"/>
    </xf>
    <xf numFmtId="0" fontId="77" fillId="26" borderId="13" xfId="2" applyFont="1" applyFill="1" applyBorder="1" applyAlignment="1">
      <alignment vertical="center" wrapText="1"/>
    </xf>
    <xf numFmtId="0" fontId="80" fillId="26" borderId="8" xfId="1" applyFont="1" applyFill="1" applyBorder="1" applyAlignment="1">
      <alignment horizontal="left" vertical="center" wrapText="1"/>
    </xf>
    <xf numFmtId="0" fontId="82" fillId="26" borderId="1" xfId="1" applyFont="1" applyFill="1" applyBorder="1" applyAlignment="1">
      <alignment horizontal="left" vertical="center" wrapText="1"/>
    </xf>
    <xf numFmtId="0" fontId="83" fillId="26" borderId="1" xfId="1" applyFont="1" applyFill="1" applyBorder="1" applyAlignment="1">
      <alignment horizontal="left" vertical="center" wrapText="1"/>
    </xf>
    <xf numFmtId="0" fontId="77" fillId="26" borderId="0" xfId="2" applyFont="1" applyFill="1" applyAlignment="1">
      <alignment vertical="center" wrapText="1"/>
    </xf>
    <xf numFmtId="0" fontId="118" fillId="19" borderId="1" xfId="0" applyFont="1" applyFill="1" applyBorder="1" applyAlignment="1">
      <alignment horizontal="left" vertical="center" wrapText="1"/>
    </xf>
    <xf numFmtId="0" fontId="78" fillId="0" borderId="2" xfId="2" applyFont="1" applyBorder="1" applyAlignment="1">
      <alignment horizontal="left" vertical="center" wrapText="1"/>
    </xf>
    <xf numFmtId="0" fontId="82" fillId="26" borderId="8" xfId="1" applyFont="1" applyFill="1" applyBorder="1" applyAlignment="1">
      <alignment horizontal="left" vertical="center" wrapText="1"/>
    </xf>
    <xf numFmtId="0" fontId="77" fillId="26" borderId="2" xfId="2" applyFont="1" applyFill="1" applyBorder="1" applyAlignment="1">
      <alignment vertical="center" wrapText="1"/>
    </xf>
    <xf numFmtId="2" fontId="12" fillId="27" borderId="21" xfId="1" applyNumberFormat="1" applyFont="1" applyFill="1" applyBorder="1" applyAlignment="1">
      <alignment horizontal="left" vertical="center" wrapText="1"/>
    </xf>
    <xf numFmtId="0" fontId="46" fillId="9" borderId="17" xfId="4" applyFont="1" applyFill="1" applyBorder="1" applyAlignment="1">
      <alignment horizontal="center" vertical="center" wrapText="1"/>
    </xf>
    <xf numFmtId="0" fontId="46" fillId="9" borderId="18" xfId="4" applyFont="1" applyFill="1" applyBorder="1" applyAlignment="1">
      <alignment horizontal="center" vertical="center" wrapText="1"/>
    </xf>
    <xf numFmtId="0" fontId="46" fillId="9" borderId="19" xfId="4" applyFont="1" applyFill="1" applyBorder="1" applyAlignment="1">
      <alignment horizontal="center" vertical="center" wrapText="1"/>
    </xf>
    <xf numFmtId="0" fontId="46" fillId="9" borderId="22" xfId="4" applyFont="1" applyFill="1" applyBorder="1" applyAlignment="1">
      <alignment horizontal="center" vertical="center" wrapText="1"/>
    </xf>
    <xf numFmtId="0" fontId="46" fillId="9" borderId="16" xfId="4" applyFont="1" applyFill="1" applyBorder="1" applyAlignment="1">
      <alignment horizontal="center" vertical="center" wrapText="1"/>
    </xf>
    <xf numFmtId="0" fontId="46" fillId="9" borderId="23" xfId="4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36" fillId="0" borderId="17" xfId="4" applyFont="1" applyFill="1" applyBorder="1" applyAlignment="1">
      <alignment horizontal="center" vertical="center" wrapText="1"/>
    </xf>
    <xf numFmtId="0" fontId="36" fillId="0" borderId="0" xfId="4" applyFont="1" applyFill="1" applyBorder="1" applyAlignment="1">
      <alignment horizontal="center" vertical="center" wrapText="1"/>
    </xf>
    <xf numFmtId="0" fontId="36" fillId="0" borderId="18" xfId="4" applyFont="1" applyFill="1" applyBorder="1" applyAlignment="1">
      <alignment horizontal="center" vertical="center" wrapText="1"/>
    </xf>
    <xf numFmtId="0" fontId="36" fillId="0" borderId="19" xfId="4" applyFont="1" applyFill="1" applyBorder="1" applyAlignment="1">
      <alignment horizontal="center" vertical="center" wrapText="1"/>
    </xf>
    <xf numFmtId="0" fontId="36" fillId="0" borderId="22" xfId="4" applyFont="1" applyFill="1" applyBorder="1" applyAlignment="1">
      <alignment horizontal="center" vertical="center" wrapText="1"/>
    </xf>
    <xf numFmtId="0" fontId="36" fillId="0" borderId="16" xfId="4" applyFont="1" applyFill="1" applyBorder="1" applyAlignment="1">
      <alignment horizontal="center" vertical="center" wrapText="1"/>
    </xf>
    <xf numFmtId="0" fontId="36" fillId="0" borderId="23" xfId="4" applyFont="1" applyFill="1" applyBorder="1" applyAlignment="1">
      <alignment horizontal="center" vertical="center" wrapText="1"/>
    </xf>
    <xf numFmtId="0" fontId="36" fillId="0" borderId="17" xfId="4" applyFont="1" applyFill="1" applyBorder="1" applyAlignment="1">
      <alignment horizontal="left" vertical="center" wrapText="1"/>
    </xf>
    <xf numFmtId="0" fontId="36" fillId="0" borderId="18" xfId="4" applyFont="1" applyFill="1" applyBorder="1" applyAlignment="1">
      <alignment horizontal="left" vertical="center" wrapText="1"/>
    </xf>
    <xf numFmtId="0" fontId="36" fillId="0" borderId="19" xfId="4" applyFont="1" applyFill="1" applyBorder="1" applyAlignment="1">
      <alignment horizontal="left" vertical="center" wrapText="1"/>
    </xf>
    <xf numFmtId="0" fontId="36" fillId="0" borderId="22" xfId="4" applyFont="1" applyFill="1" applyBorder="1" applyAlignment="1">
      <alignment horizontal="left" vertical="center" wrapText="1"/>
    </xf>
    <xf numFmtId="0" fontId="36" fillId="0" borderId="16" xfId="4" applyFont="1" applyFill="1" applyBorder="1" applyAlignment="1">
      <alignment horizontal="left" vertical="center" wrapText="1"/>
    </xf>
    <xf numFmtId="0" fontId="36" fillId="0" borderId="23" xfId="4" applyFont="1" applyFill="1" applyBorder="1" applyAlignment="1">
      <alignment horizontal="left" vertical="center" wrapText="1"/>
    </xf>
    <xf numFmtId="0" fontId="36" fillId="9" borderId="24" xfId="4" applyFont="1" applyFill="1" applyBorder="1" applyAlignment="1">
      <alignment horizontal="center" vertical="center" wrapText="1"/>
    </xf>
    <xf numFmtId="0" fontId="36" fillId="9" borderId="25" xfId="4" applyFont="1" applyFill="1" applyBorder="1" applyAlignment="1">
      <alignment horizontal="center" vertical="center" wrapText="1"/>
    </xf>
    <xf numFmtId="0" fontId="36" fillId="9" borderId="17" xfId="4" applyFont="1" applyFill="1" applyBorder="1" applyAlignment="1">
      <alignment horizontal="center" vertical="center" wrapText="1"/>
    </xf>
    <xf numFmtId="0" fontId="36" fillId="9" borderId="18" xfId="4" applyFont="1" applyFill="1" applyBorder="1" applyAlignment="1">
      <alignment horizontal="center" vertical="center" wrapText="1"/>
    </xf>
    <xf numFmtId="0" fontId="36" fillId="9" borderId="19" xfId="4" applyFont="1" applyFill="1" applyBorder="1" applyAlignment="1">
      <alignment horizontal="center" vertical="center" wrapText="1"/>
    </xf>
    <xf numFmtId="0" fontId="36" fillId="9" borderId="22" xfId="4" applyFont="1" applyFill="1" applyBorder="1" applyAlignment="1">
      <alignment horizontal="center" vertical="center" wrapText="1"/>
    </xf>
    <xf numFmtId="0" fontId="36" fillId="9" borderId="16" xfId="4" applyFont="1" applyFill="1" applyBorder="1" applyAlignment="1">
      <alignment horizontal="center" vertical="center" wrapText="1"/>
    </xf>
    <xf numFmtId="0" fontId="36" fillId="9" borderId="23" xfId="4" applyFont="1" applyFill="1" applyBorder="1" applyAlignment="1">
      <alignment horizontal="center" vertical="center" wrapText="1"/>
    </xf>
  </cellXfs>
  <cellStyles count="8">
    <cellStyle name="20% - Accent5 2" xfId="4" xr:uid="{00000000-0005-0000-0000-000000000000}"/>
    <cellStyle name="20% - 輔色6 3 2 2 2 2" xfId="7" xr:uid="{00000000-0005-0000-0000-000001000000}"/>
    <cellStyle name="40% - Accent5 2" xfId="6" xr:uid="{00000000-0005-0000-0000-000002000000}"/>
    <cellStyle name="Normal" xfId="0" builtinId="0"/>
    <cellStyle name="Normal 2" xfId="5" xr:uid="{00000000-0005-0000-0000-000003000000}"/>
    <cellStyle name="Normal 2 2" xfId="3" xr:uid="{00000000-0005-0000-0000-000004000000}"/>
    <cellStyle name="一般 2" xfId="1" xr:uid="{00000000-0005-0000-0000-000006000000}"/>
    <cellStyle name="一般 4 2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2"/>
  <sheetViews>
    <sheetView zoomScale="25" zoomScaleNormal="25" workbookViewId="0">
      <selection activeCell="J15" sqref="J15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45877</v>
      </c>
      <c r="E1" s="3" t="str">
        <f>TEXT(D1, "dddd")</f>
        <v>星期五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12</v>
      </c>
      <c r="E3" s="23"/>
      <c r="F3" s="24" t="s">
        <v>198</v>
      </c>
      <c r="G3" s="20"/>
      <c r="H3" s="22" t="s">
        <v>47</v>
      </c>
      <c r="I3" s="26"/>
      <c r="J3" s="24" t="s">
        <v>14</v>
      </c>
      <c r="K3" s="26"/>
      <c r="L3" s="24" t="s">
        <v>216</v>
      </c>
      <c r="N3" s="22" t="s">
        <v>16</v>
      </c>
      <c r="O3" s="26" t="s">
        <v>39</v>
      </c>
      <c r="P3" s="675" t="s">
        <v>17</v>
      </c>
      <c r="Q3" s="676"/>
      <c r="R3" s="676"/>
      <c r="S3" s="677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34</v>
      </c>
      <c r="E4" s="26"/>
      <c r="F4" s="24" t="s">
        <v>24</v>
      </c>
      <c r="G4" s="21"/>
      <c r="H4" s="24" t="s">
        <v>25</v>
      </c>
      <c r="I4" s="26"/>
      <c r="J4" s="24" t="s">
        <v>26</v>
      </c>
      <c r="K4" s="32"/>
      <c r="L4" s="24" t="s">
        <v>101</v>
      </c>
      <c r="M4" s="26"/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/>
      <c r="E5" s="26"/>
      <c r="F5" s="24" t="s">
        <v>13</v>
      </c>
      <c r="G5" s="25" t="s">
        <v>229</v>
      </c>
      <c r="H5" s="24" t="s">
        <v>37</v>
      </c>
      <c r="I5" s="25"/>
      <c r="J5" s="24"/>
      <c r="K5" s="26"/>
      <c r="L5" s="24" t="s">
        <v>38</v>
      </c>
      <c r="M5" s="26"/>
      <c r="N5" s="24" t="s">
        <v>13</v>
      </c>
      <c r="O5" s="21" t="s">
        <v>230</v>
      </c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 t="s">
        <v>27</v>
      </c>
      <c r="M6" s="26"/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126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3" t="s">
        <v>231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3</v>
      </c>
      <c r="D9" s="61"/>
      <c r="E9" s="60">
        <v>2</v>
      </c>
      <c r="F9" s="32"/>
      <c r="G9" s="62">
        <v>2.5</v>
      </c>
      <c r="H9" s="63">
        <v>3</v>
      </c>
      <c r="I9" s="62">
        <f>H9-I11</f>
        <v>3</v>
      </c>
      <c r="J9" s="61"/>
      <c r="K9" s="60">
        <v>2</v>
      </c>
      <c r="L9" s="64">
        <v>4</v>
      </c>
      <c r="M9" s="62">
        <f>L9-M11</f>
        <v>3.6</v>
      </c>
      <c r="N9" s="56">
        <v>1.75</v>
      </c>
      <c r="O9" s="65">
        <f>N9-O11</f>
        <v>1.05</v>
      </c>
      <c r="P9" s="404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1"/>
      <c r="C11" s="412"/>
      <c r="D11" s="83"/>
      <c r="E11" s="413"/>
      <c r="F11" s="85"/>
      <c r="G11" s="414"/>
      <c r="H11" s="415" t="s">
        <v>53</v>
      </c>
      <c r="I11" s="416">
        <v>0</v>
      </c>
      <c r="J11" s="85"/>
      <c r="K11" s="417"/>
      <c r="L11" s="415" t="s">
        <v>53</v>
      </c>
      <c r="M11" s="418">
        <v>0.4</v>
      </c>
      <c r="N11" s="85" t="s">
        <v>54</v>
      </c>
      <c r="O11" s="412">
        <v>0.7</v>
      </c>
      <c r="P11" s="92" t="s">
        <v>232</v>
      </c>
      <c r="Q11" s="92" t="s">
        <v>233</v>
      </c>
      <c r="R11" s="92" t="s">
        <v>210</v>
      </c>
      <c r="S11" s="93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410" t="s">
        <v>58</v>
      </c>
      <c r="B12" s="398" t="s">
        <v>234</v>
      </c>
      <c r="C12" s="107" t="s">
        <v>235</v>
      </c>
      <c r="D12" s="99" t="s">
        <v>60</v>
      </c>
      <c r="E12" s="193" t="s">
        <v>59</v>
      </c>
      <c r="F12" s="408" t="s">
        <v>61</v>
      </c>
      <c r="G12" s="193" t="s">
        <v>59</v>
      </c>
      <c r="H12" s="99" t="s">
        <v>62</v>
      </c>
      <c r="I12" s="107" t="s">
        <v>59</v>
      </c>
      <c r="J12" s="99" t="s">
        <v>63</v>
      </c>
      <c r="K12" s="107" t="s">
        <v>59</v>
      </c>
      <c r="L12" s="99" t="s">
        <v>64</v>
      </c>
      <c r="M12" s="193" t="s">
        <v>59</v>
      </c>
      <c r="N12" s="408" t="s">
        <v>65</v>
      </c>
      <c r="O12" s="193" t="s">
        <v>59</v>
      </c>
      <c r="P12" s="92" t="s">
        <v>60</v>
      </c>
      <c r="Q12" s="92" t="s">
        <v>218</v>
      </c>
      <c r="R12" s="396" t="s">
        <v>200</v>
      </c>
      <c r="S12" s="1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 thickBot="1">
      <c r="A13" s="19"/>
      <c r="B13" s="391" t="s">
        <v>193</v>
      </c>
      <c r="C13" s="193" t="s">
        <v>39</v>
      </c>
      <c r="D13" s="395" t="s">
        <v>202</v>
      </c>
      <c r="E13" s="193" t="s">
        <v>87</v>
      </c>
      <c r="F13" s="405" t="s">
        <v>71</v>
      </c>
      <c r="G13" s="193" t="s">
        <v>194</v>
      </c>
      <c r="H13" s="391" t="s">
        <v>73</v>
      </c>
      <c r="I13" s="193" t="s">
        <v>191</v>
      </c>
      <c r="J13" s="391"/>
      <c r="K13" s="193"/>
      <c r="L13" s="391" t="s">
        <v>210</v>
      </c>
      <c r="M13" s="193" t="s">
        <v>59</v>
      </c>
      <c r="N13" s="391"/>
      <c r="O13" s="193"/>
      <c r="P13" s="92" t="s">
        <v>75</v>
      </c>
      <c r="Q13" s="92" t="s">
        <v>73</v>
      </c>
      <c r="R13" s="391"/>
      <c r="S13" s="1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 thickBot="1">
      <c r="A14" s="19"/>
      <c r="B14" s="395" t="s">
        <v>200</v>
      </c>
      <c r="C14" s="20" t="s">
        <v>225</v>
      </c>
      <c r="D14" s="108"/>
      <c r="E14" s="20"/>
      <c r="F14" s="99"/>
      <c r="G14" s="197"/>
      <c r="H14" s="391"/>
      <c r="I14" s="20"/>
      <c r="J14" s="108"/>
      <c r="K14" s="193"/>
      <c r="L14" s="405" t="s">
        <v>71</v>
      </c>
      <c r="M14" s="193" t="s">
        <v>78</v>
      </c>
      <c r="N14" s="409"/>
      <c r="O14" s="107"/>
      <c r="P14" s="109" t="s">
        <v>206</v>
      </c>
      <c r="Q14" s="92" t="s">
        <v>207</v>
      </c>
      <c r="R14" s="391"/>
      <c r="S14" s="115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99"/>
      <c r="C15" s="107"/>
      <c r="D15" s="99"/>
      <c r="E15" s="107"/>
      <c r="F15" s="99"/>
      <c r="G15" s="107"/>
      <c r="H15" s="106"/>
      <c r="I15" s="107"/>
      <c r="J15" s="108"/>
      <c r="K15" s="107"/>
      <c r="L15" s="108"/>
      <c r="M15" s="20"/>
      <c r="N15" s="24"/>
      <c r="O15" s="107"/>
      <c r="P15" s="109" t="s">
        <v>82</v>
      </c>
      <c r="Q15" s="92" t="s">
        <v>236</v>
      </c>
      <c r="R15" s="391"/>
      <c r="S15" s="115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126"/>
      <c r="F16" s="125"/>
      <c r="G16" s="127"/>
      <c r="H16" s="128"/>
      <c r="I16" s="26"/>
      <c r="J16" s="125"/>
      <c r="K16" s="127"/>
      <c r="L16" s="129"/>
      <c r="N16" s="129"/>
      <c r="O16" s="52"/>
      <c r="P16" s="92" t="s">
        <v>237</v>
      </c>
      <c r="Q16" s="131" t="s">
        <v>71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138"/>
      <c r="D17" s="125" t="s">
        <v>66</v>
      </c>
      <c r="E17" s="139" t="s">
        <v>85</v>
      </c>
      <c r="F17" s="125" t="s">
        <v>66</v>
      </c>
      <c r="G17" s="127" t="s">
        <v>221</v>
      </c>
      <c r="H17" s="125"/>
      <c r="I17" s="140"/>
      <c r="J17" s="46"/>
      <c r="L17" s="125" t="s">
        <v>73</v>
      </c>
      <c r="M17" s="140" t="s">
        <v>74</v>
      </c>
      <c r="N17" s="141" t="s">
        <v>54</v>
      </c>
      <c r="O17" s="142">
        <v>0.4</v>
      </c>
      <c r="P17" s="678" t="s">
        <v>195</v>
      </c>
      <c r="Q17" s="679"/>
      <c r="R17" s="680"/>
      <c r="S17" s="681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1.8367346938775506</v>
      </c>
      <c r="C18" s="149"/>
      <c r="D18" s="150">
        <f>D52</f>
        <v>1.2244897959183672</v>
      </c>
      <c r="E18" s="149"/>
      <c r="F18" s="148">
        <f>F52</f>
        <v>1.5306122448979589</v>
      </c>
      <c r="G18" s="150"/>
      <c r="H18" s="148">
        <f>H52</f>
        <v>1.8367346938775506</v>
      </c>
      <c r="I18" s="150"/>
      <c r="J18" s="148">
        <f>J52</f>
        <v>1.2244897959183672</v>
      </c>
      <c r="K18" s="150"/>
      <c r="L18" s="151">
        <f>L52</f>
        <v>2.204081632653061</v>
      </c>
      <c r="M18" s="149"/>
      <c r="N18" s="152">
        <f>N52</f>
        <v>0.64285714285714279</v>
      </c>
      <c r="O18" s="149">
        <f>N18+O17</f>
        <v>1.0428571428571427</v>
      </c>
      <c r="P18" s="682"/>
      <c r="Q18" s="683"/>
      <c r="R18" s="683"/>
      <c r="S18" s="684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56"/>
      <c r="G19" s="158"/>
      <c r="H19" s="56"/>
      <c r="I19" s="107"/>
      <c r="J19" s="159"/>
      <c r="K19" s="160"/>
      <c r="L19" s="56"/>
      <c r="M19" s="107"/>
      <c r="N19" s="56"/>
      <c r="O19" s="107"/>
      <c r="P19" s="685" t="s">
        <v>90</v>
      </c>
      <c r="Q19" s="686"/>
      <c r="R19" s="686"/>
      <c r="S19" s="687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56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688"/>
      <c r="Q20" s="689"/>
      <c r="R20" s="689"/>
      <c r="S20" s="690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4"/>
      <c r="C21" s="107"/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20"/>
      <c r="C22" s="107"/>
      <c r="D22" s="166"/>
      <c r="E22" s="107"/>
      <c r="F22" s="72"/>
      <c r="G22" s="167"/>
      <c r="H22" s="24"/>
      <c r="I22" s="20"/>
      <c r="J22" s="24"/>
      <c r="K22" s="20"/>
      <c r="L22" s="24"/>
      <c r="M22" s="107"/>
      <c r="N22" s="24"/>
      <c r="O22" s="20"/>
      <c r="P22" s="168"/>
      <c r="Q22" s="691" t="s">
        <v>93</v>
      </c>
      <c r="R22" s="691"/>
      <c r="S22" s="692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B23" s="72"/>
      <c r="C23" s="16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693"/>
      <c r="Q23" s="694"/>
      <c r="R23" s="694"/>
      <c r="S23" s="695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172.5" customHeight="1" thickBot="1">
      <c r="A24" s="96"/>
      <c r="B24" s="56"/>
      <c r="C24" s="182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696"/>
      <c r="Q24" s="697"/>
      <c r="R24" s="697"/>
      <c r="S24" s="698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Q27" s="49"/>
      <c r="R27" s="189" t="s">
        <v>228</v>
      </c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17.962099125364418</v>
      </c>
      <c r="C31" s="218"/>
      <c r="D31" s="219">
        <f>D45</f>
        <v>-13.358600583090386</v>
      </c>
      <c r="E31" s="220"/>
      <c r="F31" s="221">
        <f>F45</f>
        <v>1.8017492711370124</v>
      </c>
      <c r="G31" s="221"/>
      <c r="H31" s="217">
        <f>H45</f>
        <v>25.962099125364418</v>
      </c>
      <c r="I31" s="218"/>
      <c r="J31" s="217">
        <f>J45</f>
        <v>-9.3586005830903858</v>
      </c>
      <c r="K31" s="222"/>
      <c r="L31" s="217">
        <f>L45</f>
        <v>-0.84548104956269299</v>
      </c>
      <c r="M31" s="222"/>
      <c r="N31" s="152">
        <f>N45</f>
        <v>-22.163265306122451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390" t="s">
        <v>23</v>
      </c>
      <c r="E32" s="229" t="s">
        <v>99</v>
      </c>
      <c r="F32" s="390"/>
      <c r="G32" s="393"/>
      <c r="H32" s="406"/>
      <c r="I32" s="407"/>
      <c r="J32" s="24" t="s">
        <v>100</v>
      </c>
      <c r="K32" s="229" t="s">
        <v>238</v>
      </c>
      <c r="L32" s="22"/>
      <c r="M32" s="107"/>
      <c r="N32" s="24" t="s">
        <v>35</v>
      </c>
      <c r="O32" s="229" t="s">
        <v>99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 t="s">
        <v>16</v>
      </c>
      <c r="O33" s="229" t="s">
        <v>239</v>
      </c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520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669"/>
      <c r="U41" s="670"/>
      <c r="V41" s="670"/>
      <c r="W41" s="671"/>
      <c r="X41" s="302"/>
      <c r="Y41" s="303"/>
    </row>
    <row r="42" spans="1:34" ht="73" thickBot="1">
      <c r="A42" s="304" t="s">
        <v>136</v>
      </c>
      <c r="B42" s="305">
        <f>SUM(B44:R44)</f>
        <v>17.150000000000002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672"/>
      <c r="U42" s="673"/>
      <c r="V42" s="673"/>
      <c r="W42" s="674"/>
      <c r="X42" s="302"/>
      <c r="Y42" s="303"/>
    </row>
    <row r="43" spans="1:34" ht="72">
      <c r="A43" s="304" t="s">
        <v>137</v>
      </c>
      <c r="B43" s="294">
        <f>B41/B42</f>
        <v>30.320699708454807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72">
      <c r="A44" s="310" t="s">
        <v>138</v>
      </c>
      <c r="B44" s="305">
        <f>C9</f>
        <v>3</v>
      </c>
      <c r="C44" s="295"/>
      <c r="D44" s="296">
        <f>E9</f>
        <v>2</v>
      </c>
      <c r="E44" s="297"/>
      <c r="F44" s="296">
        <f>G9</f>
        <v>2.5</v>
      </c>
      <c r="G44" s="297"/>
      <c r="H44" s="278">
        <f>I9</f>
        <v>3</v>
      </c>
      <c r="I44" s="299"/>
      <c r="J44" s="278">
        <f>K9</f>
        <v>2</v>
      </c>
      <c r="K44" s="299"/>
      <c r="L44" s="278">
        <f>M9</f>
        <v>3.6</v>
      </c>
      <c r="M44" s="299"/>
      <c r="N44" s="311">
        <f>O9</f>
        <v>1.05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17.962099125364418</v>
      </c>
      <c r="C45" s="295"/>
      <c r="D45" s="318">
        <f>B41/B42*D44-D46</f>
        <v>-13.358600583090386</v>
      </c>
      <c r="E45" s="319"/>
      <c r="F45" s="318">
        <f>B41/B42*F44-F46</f>
        <v>1.8017492711370124</v>
      </c>
      <c r="G45" s="320"/>
      <c r="H45" s="321">
        <f>B41/B42*H44-H46</f>
        <v>25.962099125364418</v>
      </c>
      <c r="I45" s="322"/>
      <c r="J45" s="321">
        <f>B41/B42*J44-J46</f>
        <v>-9.3586005830903858</v>
      </c>
      <c r="K45" s="322"/>
      <c r="L45" s="321">
        <f>B41/B42*L44-L46</f>
        <v>-0.84548104956269299</v>
      </c>
      <c r="M45" s="322"/>
      <c r="N45" s="311">
        <f>B41/B42*N44-N46</f>
        <v>-22.163265306122451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74</v>
      </c>
      <c r="F46" s="318">
        <v>74</v>
      </c>
      <c r="G46" s="320"/>
      <c r="H46" s="332">
        <v>65</v>
      </c>
      <c r="J46" s="321">
        <v>70</v>
      </c>
      <c r="K46" s="322"/>
      <c r="L46" s="333">
        <v>110</v>
      </c>
      <c r="M46" s="322"/>
      <c r="N46" s="334">
        <v>54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10.5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49.523809523809526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90.962099125364418</v>
      </c>
      <c r="C51" s="354"/>
      <c r="D51" s="354">
        <f>B43*D44</f>
        <v>60.641399416909614</v>
      </c>
      <c r="E51" s="354"/>
      <c r="F51" s="354">
        <f>B43*F44</f>
        <v>75.801749271137012</v>
      </c>
      <c r="G51" s="354"/>
      <c r="H51" s="359">
        <f>B43*H44</f>
        <v>90.962099125364418</v>
      </c>
      <c r="I51" s="354"/>
      <c r="J51" s="354">
        <f>B43*J44</f>
        <v>60.641399416909614</v>
      </c>
      <c r="K51" s="354"/>
      <c r="L51" s="359">
        <f>B43*L44</f>
        <v>109.15451895043731</v>
      </c>
      <c r="M51" s="354"/>
      <c r="N51" s="354">
        <f>B43*N44</f>
        <v>31.836734693877549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1.8367346938775506</v>
      </c>
      <c r="C52" s="354"/>
      <c r="D52" s="354">
        <f>D51/B50</f>
        <v>1.2244897959183672</v>
      </c>
      <c r="E52" s="354"/>
      <c r="F52" s="354">
        <f>F51/B50</f>
        <v>1.5306122448979589</v>
      </c>
      <c r="G52" s="354"/>
      <c r="H52" s="354">
        <f>H51/B50</f>
        <v>1.8367346938775506</v>
      </c>
      <c r="I52" s="354"/>
      <c r="J52" s="354">
        <f>J51/B50</f>
        <v>1.2244897959183672</v>
      </c>
      <c r="K52" s="354"/>
      <c r="L52" s="359">
        <f>L51/B50</f>
        <v>2.204081632653061</v>
      </c>
      <c r="M52" s="354"/>
      <c r="N52" s="354">
        <f>N51/B50</f>
        <v>0.64285714285714279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1</v>
      </c>
      <c r="D70" s="376" t="s">
        <v>178</v>
      </c>
      <c r="E70" s="376">
        <v>0.25</v>
      </c>
      <c r="F70" s="376">
        <f>O17</f>
        <v>0.4</v>
      </c>
      <c r="G70" s="380">
        <v>1.85</v>
      </c>
      <c r="H70" s="376">
        <v>0</v>
      </c>
      <c r="I70" s="377">
        <v>0</v>
      </c>
      <c r="J70" s="376">
        <f>SUM(C70:H70)</f>
        <v>3.5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0.5</v>
      </c>
      <c r="D74" s="382">
        <f>IF(OR(E1="Monday",E1="Friday"),0.25,0.5)</f>
        <v>0.5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02"/>
  <sheetViews>
    <sheetView topLeftCell="C1" zoomScale="25" zoomScaleNormal="25" workbookViewId="0">
      <selection activeCell="G13" sqref="G13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45881</v>
      </c>
      <c r="E1" s="3" t="str">
        <f>TEXT(D1, "dddd")</f>
        <v>星期二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23</v>
      </c>
      <c r="E3" s="23"/>
      <c r="F3" s="24" t="s">
        <v>198</v>
      </c>
      <c r="G3" s="20"/>
      <c r="H3" s="22" t="s">
        <v>47</v>
      </c>
      <c r="I3" s="26"/>
      <c r="J3" s="24" t="s">
        <v>100</v>
      </c>
      <c r="K3" s="26"/>
      <c r="L3" s="24" t="s">
        <v>216</v>
      </c>
      <c r="N3" s="22" t="s">
        <v>16</v>
      </c>
      <c r="O3" s="26"/>
      <c r="P3" s="675" t="s">
        <v>17</v>
      </c>
      <c r="Q3" s="676"/>
      <c r="R3" s="676"/>
      <c r="S3" s="677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34</v>
      </c>
      <c r="E4" s="26"/>
      <c r="F4" s="24" t="s">
        <v>245</v>
      </c>
      <c r="G4" s="21"/>
      <c r="H4" s="24" t="s">
        <v>25</v>
      </c>
      <c r="I4" s="26"/>
      <c r="J4" s="24" t="s">
        <v>26</v>
      </c>
      <c r="K4" s="32"/>
      <c r="L4" s="24" t="s">
        <v>38</v>
      </c>
      <c r="M4" s="26"/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/>
      <c r="E5" s="26"/>
      <c r="F5" s="24"/>
      <c r="G5" s="26"/>
      <c r="H5" s="24" t="s">
        <v>37</v>
      </c>
      <c r="I5" s="25"/>
      <c r="J5" s="24"/>
      <c r="K5" s="26"/>
      <c r="L5" s="24" t="s">
        <v>27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/>
      <c r="M6" s="26"/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3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3" t="s">
        <v>246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3</v>
      </c>
      <c r="D9" s="61"/>
      <c r="E9" s="60">
        <v>2</v>
      </c>
      <c r="F9" s="32"/>
      <c r="G9" s="62">
        <v>2</v>
      </c>
      <c r="H9" s="63">
        <v>3</v>
      </c>
      <c r="I9" s="62">
        <f>H9-I11</f>
        <v>2.6</v>
      </c>
      <c r="J9" s="61"/>
      <c r="K9" s="60">
        <v>2</v>
      </c>
      <c r="L9" s="64">
        <v>3</v>
      </c>
      <c r="M9" s="62">
        <f>L9-M11</f>
        <v>3</v>
      </c>
      <c r="N9" s="56">
        <v>2</v>
      </c>
      <c r="O9" s="65">
        <f>N9-O11</f>
        <v>1.3</v>
      </c>
      <c r="P9" s="404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1"/>
      <c r="C11" s="412"/>
      <c r="D11" s="83"/>
      <c r="E11" s="413"/>
      <c r="F11" s="85"/>
      <c r="G11" s="414"/>
      <c r="H11" s="87" t="s">
        <v>53</v>
      </c>
      <c r="I11" s="88">
        <v>0.4</v>
      </c>
      <c r="J11" s="85"/>
      <c r="K11" s="417"/>
      <c r="L11" s="415" t="s">
        <v>53</v>
      </c>
      <c r="M11" s="418">
        <v>0</v>
      </c>
      <c r="N11" s="85" t="s">
        <v>54</v>
      </c>
      <c r="O11" s="412">
        <v>0.7</v>
      </c>
      <c r="P11" s="92" t="s">
        <v>199</v>
      </c>
      <c r="Q11" s="92" t="s">
        <v>55</v>
      </c>
      <c r="R11" s="92" t="s">
        <v>240</v>
      </c>
      <c r="S11" s="93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410" t="s">
        <v>58</v>
      </c>
      <c r="B12" s="398" t="s">
        <v>199</v>
      </c>
      <c r="C12" s="107" t="s">
        <v>213</v>
      </c>
      <c r="D12" s="97" t="s">
        <v>60</v>
      </c>
      <c r="E12" s="100" t="s">
        <v>59</v>
      </c>
      <c r="F12" s="408" t="s">
        <v>61</v>
      </c>
      <c r="G12" s="107" t="s">
        <v>59</v>
      </c>
      <c r="H12" s="97" t="s">
        <v>62</v>
      </c>
      <c r="I12" s="98" t="s">
        <v>59</v>
      </c>
      <c r="J12" s="97" t="s">
        <v>63</v>
      </c>
      <c r="K12" s="100" t="s">
        <v>213</v>
      </c>
      <c r="L12" s="99" t="s">
        <v>64</v>
      </c>
      <c r="M12" s="193" t="s">
        <v>59</v>
      </c>
      <c r="N12" s="408" t="s">
        <v>65</v>
      </c>
      <c r="O12" s="193" t="s">
        <v>59</v>
      </c>
      <c r="P12" s="92" t="s">
        <v>60</v>
      </c>
      <c r="Q12" s="92" t="s">
        <v>247</v>
      </c>
      <c r="R12" s="396" t="s">
        <v>200</v>
      </c>
      <c r="S12" s="1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19"/>
      <c r="B13" s="391" t="s">
        <v>55</v>
      </c>
      <c r="C13" s="107" t="s">
        <v>70</v>
      </c>
      <c r="D13" s="421" t="s">
        <v>200</v>
      </c>
      <c r="E13" s="193" t="s">
        <v>194</v>
      </c>
      <c r="F13" s="391"/>
      <c r="G13" s="193"/>
      <c r="H13" s="392" t="s">
        <v>71</v>
      </c>
      <c r="I13" s="107" t="s">
        <v>87</v>
      </c>
      <c r="J13" s="392" t="s">
        <v>205</v>
      </c>
      <c r="K13" s="193" t="s">
        <v>87</v>
      </c>
      <c r="L13" s="391" t="s">
        <v>212</v>
      </c>
      <c r="M13" s="193" t="s">
        <v>59</v>
      </c>
      <c r="N13" s="391" t="s">
        <v>55</v>
      </c>
      <c r="O13" s="193" t="s">
        <v>72</v>
      </c>
      <c r="P13" s="92" t="s">
        <v>75</v>
      </c>
      <c r="Q13" s="92" t="s">
        <v>73</v>
      </c>
      <c r="R13" s="391"/>
      <c r="S13" s="1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5" t="s">
        <v>200</v>
      </c>
      <c r="C14" s="107" t="s">
        <v>248</v>
      </c>
      <c r="D14" s="392"/>
      <c r="E14" s="107"/>
      <c r="F14" s="392"/>
      <c r="G14" s="193"/>
      <c r="H14" s="392" t="s">
        <v>73</v>
      </c>
      <c r="I14" s="107" t="s">
        <v>36</v>
      </c>
      <c r="J14" s="391" t="s">
        <v>73</v>
      </c>
      <c r="K14" s="193" t="s">
        <v>74</v>
      </c>
      <c r="L14" s="392"/>
      <c r="M14" s="193"/>
      <c r="N14" s="395"/>
      <c r="O14" s="107"/>
      <c r="P14" s="109" t="s">
        <v>206</v>
      </c>
      <c r="Q14" s="92" t="s">
        <v>212</v>
      </c>
      <c r="R14" s="391"/>
      <c r="S14" s="115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395"/>
      <c r="C15" s="107"/>
      <c r="D15" s="99"/>
      <c r="E15" s="107"/>
      <c r="F15" s="392"/>
      <c r="G15" s="193"/>
      <c r="H15" s="106"/>
      <c r="J15" s="392"/>
      <c r="K15" s="107"/>
      <c r="L15" s="421"/>
      <c r="M15" s="193"/>
      <c r="N15" s="24"/>
      <c r="O15" s="107"/>
      <c r="P15" s="109" t="s">
        <v>82</v>
      </c>
      <c r="Q15" s="92" t="s">
        <v>63</v>
      </c>
      <c r="R15" s="391"/>
      <c r="S15" s="115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428"/>
      <c r="F16" s="125"/>
      <c r="G16" s="127"/>
      <c r="H16" s="128"/>
      <c r="I16" s="26"/>
      <c r="J16" s="125"/>
      <c r="K16" s="426"/>
      <c r="L16" s="129"/>
      <c r="N16" s="129"/>
      <c r="O16" s="52"/>
      <c r="P16" s="92" t="s">
        <v>237</v>
      </c>
      <c r="Q16" s="405" t="s">
        <v>71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427"/>
      <c r="D17" s="125" t="s">
        <v>66</v>
      </c>
      <c r="E17" s="429" t="s">
        <v>85</v>
      </c>
      <c r="F17" s="125" t="s">
        <v>66</v>
      </c>
      <c r="G17" s="127" t="s">
        <v>221</v>
      </c>
      <c r="H17" s="125" t="s">
        <v>73</v>
      </c>
      <c r="I17" s="140" t="s">
        <v>87</v>
      </c>
      <c r="J17" s="46"/>
      <c r="K17" s="423"/>
      <c r="L17" s="125"/>
      <c r="M17" s="140"/>
      <c r="N17" s="141" t="s">
        <v>54</v>
      </c>
      <c r="O17" s="142">
        <v>0.4</v>
      </c>
      <c r="P17" s="678" t="s">
        <v>195</v>
      </c>
      <c r="Q17" s="679"/>
      <c r="R17" s="680"/>
      <c r="S17" s="681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2.1886792452830184</v>
      </c>
      <c r="C18" s="150"/>
      <c r="D18" s="148">
        <f>D52</f>
        <v>1.4591194968553458</v>
      </c>
      <c r="E18" s="149"/>
      <c r="F18" s="148">
        <f>F52</f>
        <v>1.4591194968553458</v>
      </c>
      <c r="G18" s="150"/>
      <c r="H18" s="148">
        <f>H52</f>
        <v>1.8968553459119497</v>
      </c>
      <c r="I18" s="150"/>
      <c r="J18" s="424">
        <f>J52</f>
        <v>1.4591194968553458</v>
      </c>
      <c r="K18" s="425"/>
      <c r="L18" s="151">
        <f>L52</f>
        <v>2.1886792452830184</v>
      </c>
      <c r="M18" s="149"/>
      <c r="N18" s="152">
        <f>N52</f>
        <v>0.94842767295597485</v>
      </c>
      <c r="O18" s="149">
        <f>N18+O17</f>
        <v>1.348427672955975</v>
      </c>
      <c r="P18" s="682"/>
      <c r="Q18" s="683"/>
      <c r="R18" s="683"/>
      <c r="S18" s="684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 t="s">
        <v>251</v>
      </c>
      <c r="C19" s="107" t="s">
        <v>252</v>
      </c>
      <c r="D19" s="56"/>
      <c r="E19" s="107"/>
      <c r="F19" s="56"/>
      <c r="G19" s="158"/>
      <c r="H19" s="56" t="s">
        <v>253</v>
      </c>
      <c r="I19" s="107" t="s">
        <v>254</v>
      </c>
      <c r="J19" s="159"/>
      <c r="K19" s="160"/>
      <c r="L19" s="56"/>
      <c r="M19" s="107"/>
      <c r="N19" s="56"/>
      <c r="O19" s="107"/>
      <c r="P19" s="685" t="s">
        <v>90</v>
      </c>
      <c r="Q19" s="686"/>
      <c r="R19" s="686"/>
      <c r="S19" s="687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61" thickBot="1">
      <c r="A20" s="51"/>
      <c r="B20" s="24"/>
      <c r="C20" s="107"/>
      <c r="D20" s="56"/>
      <c r="E20" s="107"/>
      <c r="F20" s="72"/>
      <c r="G20" s="160"/>
      <c r="H20" s="56" t="s">
        <v>255</v>
      </c>
      <c r="I20" s="107" t="s">
        <v>256</v>
      </c>
      <c r="J20" s="56"/>
      <c r="K20" s="107"/>
      <c r="L20" s="56"/>
      <c r="M20" s="107"/>
      <c r="N20" s="24"/>
      <c r="O20" s="107"/>
      <c r="P20" s="688"/>
      <c r="Q20" s="689"/>
      <c r="R20" s="689"/>
      <c r="S20" s="690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0" t="s">
        <v>257</v>
      </c>
      <c r="C21" s="107" t="s">
        <v>258</v>
      </c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56" t="s">
        <v>259</v>
      </c>
      <c r="C22" s="430" t="s">
        <v>260</v>
      </c>
      <c r="D22" s="166"/>
      <c r="E22" s="107"/>
      <c r="F22" s="72"/>
      <c r="G22" s="167" t="s">
        <v>117</v>
      </c>
      <c r="H22" s="24"/>
      <c r="I22" s="20"/>
      <c r="J22" s="24"/>
      <c r="K22" s="20"/>
      <c r="L22" s="24"/>
      <c r="M22" s="107"/>
      <c r="N22" s="24"/>
      <c r="O22" s="20"/>
      <c r="P22" s="168"/>
      <c r="Q22" s="691" t="s">
        <v>93</v>
      </c>
      <c r="R22" s="691"/>
      <c r="S22" s="692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693"/>
      <c r="Q23" s="694"/>
      <c r="R23" s="694"/>
      <c r="S23" s="695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336" customHeight="1" thickBot="1">
      <c r="A24" s="96"/>
      <c r="B24" s="56"/>
      <c r="C24" s="430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696"/>
      <c r="Q24" s="697"/>
      <c r="R24" s="697"/>
      <c r="S24" s="698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Q27" s="49"/>
      <c r="R27" s="189" t="s">
        <v>228</v>
      </c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22.849056603773576</v>
      </c>
      <c r="C31" s="218"/>
      <c r="D31" s="219">
        <f>D45</f>
        <v>-5.1006289308176136</v>
      </c>
      <c r="E31" s="220"/>
      <c r="F31" s="221">
        <f>F45</f>
        <v>-10.100628930817614</v>
      </c>
      <c r="G31" s="221"/>
      <c r="H31" s="217">
        <f>H45</f>
        <v>18.069182389937112</v>
      </c>
      <c r="I31" s="218"/>
      <c r="J31" s="217">
        <f>J45</f>
        <v>-4.1006289308176136</v>
      </c>
      <c r="K31" s="222"/>
      <c r="L31" s="217">
        <f>L45</f>
        <v>-14.150943396226424</v>
      </c>
      <c r="M31" s="222"/>
      <c r="N31" s="152">
        <f>N45</f>
        <v>-7.4654088050314442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419" t="s">
        <v>12</v>
      </c>
      <c r="E32" s="229" t="s">
        <v>99</v>
      </c>
      <c r="F32" s="419" t="s">
        <v>241</v>
      </c>
      <c r="G32" s="229" t="s">
        <v>242</v>
      </c>
      <c r="H32" s="420"/>
      <c r="I32" s="407"/>
      <c r="J32" s="24" t="s">
        <v>14</v>
      </c>
      <c r="K32" s="229" t="s">
        <v>99</v>
      </c>
      <c r="L32" s="22" t="s">
        <v>243</v>
      </c>
      <c r="M32" s="107" t="s">
        <v>99</v>
      </c>
      <c r="N32" s="24" t="s">
        <v>28</v>
      </c>
      <c r="O32" s="422" t="s">
        <v>250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/>
      <c r="O33" s="229"/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508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669"/>
      <c r="U41" s="670"/>
      <c r="V41" s="670"/>
      <c r="W41" s="671"/>
      <c r="X41" s="302"/>
      <c r="Y41" s="303"/>
    </row>
    <row r="42" spans="1:34" ht="73" thickBot="1">
      <c r="A42" s="304" t="s">
        <v>136</v>
      </c>
      <c r="B42" s="305">
        <f>SUM(B44:R44)</f>
        <v>15.9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672"/>
      <c r="U42" s="673"/>
      <c r="V42" s="673"/>
      <c r="W42" s="674"/>
      <c r="X42" s="302"/>
      <c r="Y42" s="303"/>
    </row>
    <row r="43" spans="1:34" ht="72">
      <c r="A43" s="304" t="s">
        <v>137</v>
      </c>
      <c r="B43" s="294">
        <f>B41/B42</f>
        <v>31.949685534591193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72">
      <c r="A44" s="310" t="s">
        <v>138</v>
      </c>
      <c r="B44" s="305">
        <f>C9</f>
        <v>3</v>
      </c>
      <c r="C44" s="295"/>
      <c r="D44" s="296">
        <f>E9</f>
        <v>2</v>
      </c>
      <c r="E44" s="297"/>
      <c r="F44" s="296">
        <f>G9</f>
        <v>2</v>
      </c>
      <c r="G44" s="297"/>
      <c r="H44" s="278">
        <f>I9</f>
        <v>2.6</v>
      </c>
      <c r="I44" s="299"/>
      <c r="J44" s="278">
        <f>K9</f>
        <v>2</v>
      </c>
      <c r="K44" s="299"/>
      <c r="L44" s="278">
        <f>M9</f>
        <v>3</v>
      </c>
      <c r="M44" s="299"/>
      <c r="N44" s="311">
        <f>O9</f>
        <v>1.3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22.849056603773576</v>
      </c>
      <c r="C45" s="295"/>
      <c r="D45" s="318">
        <f>B41/B42*D44-D46</f>
        <v>-5.1006289308176136</v>
      </c>
      <c r="E45" s="319"/>
      <c r="F45" s="318">
        <f>B41/B42*F44-F46</f>
        <v>-10.100628930817614</v>
      </c>
      <c r="G45" s="320"/>
      <c r="H45" s="321">
        <f>B41/B42*H44-H46</f>
        <v>18.069182389937112</v>
      </c>
      <c r="I45" s="322"/>
      <c r="J45" s="321">
        <f>B41/B42*J44-J46</f>
        <v>-4.1006289308176136</v>
      </c>
      <c r="K45" s="322"/>
      <c r="L45" s="321">
        <f>B41/B42*L44-L46</f>
        <v>-14.150943396226424</v>
      </c>
      <c r="M45" s="322"/>
      <c r="N45" s="311">
        <f>B41/B42*N44-N46</f>
        <v>-7.4654088050314442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69</v>
      </c>
      <c r="E46" s="130" t="s">
        <v>244</v>
      </c>
      <c r="F46" s="318">
        <v>74</v>
      </c>
      <c r="G46" s="320"/>
      <c r="H46" s="332">
        <v>65</v>
      </c>
      <c r="J46" s="321">
        <v>68</v>
      </c>
      <c r="K46" s="322"/>
      <c r="L46" s="333">
        <v>110</v>
      </c>
      <c r="M46" s="322"/>
      <c r="N46" s="334">
        <v>49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11.6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43.793103448275865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95.849056603773576</v>
      </c>
      <c r="C51" s="354"/>
      <c r="D51" s="354">
        <f>B43*D44</f>
        <v>63.899371069182386</v>
      </c>
      <c r="E51" s="354"/>
      <c r="F51" s="354">
        <f>B43*F44</f>
        <v>63.899371069182386</v>
      </c>
      <c r="G51" s="354"/>
      <c r="H51" s="359">
        <f>B43*H44</f>
        <v>83.069182389937112</v>
      </c>
      <c r="I51" s="354"/>
      <c r="J51" s="354">
        <f>B43*J44</f>
        <v>63.899371069182386</v>
      </c>
      <c r="K51" s="354"/>
      <c r="L51" s="359">
        <f>B43*L44</f>
        <v>95.849056603773576</v>
      </c>
      <c r="M51" s="354"/>
      <c r="N51" s="354">
        <f>B43*N44</f>
        <v>41.534591194968556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2.1886792452830184</v>
      </c>
      <c r="C52" s="354"/>
      <c r="D52" s="354">
        <f>D51/B50</f>
        <v>1.4591194968553458</v>
      </c>
      <c r="E52" s="354"/>
      <c r="F52" s="354">
        <f>F51/B50</f>
        <v>1.4591194968553458</v>
      </c>
      <c r="G52" s="354"/>
      <c r="H52" s="354">
        <f>H51/B50</f>
        <v>1.8968553459119497</v>
      </c>
      <c r="I52" s="354"/>
      <c r="J52" s="354">
        <f>J51/B50</f>
        <v>1.4591194968553458</v>
      </c>
      <c r="K52" s="354"/>
      <c r="L52" s="359">
        <f>L51/B50</f>
        <v>2.1886792452830184</v>
      </c>
      <c r="M52" s="354"/>
      <c r="N52" s="354">
        <f>N51/B50</f>
        <v>0.94842767295597485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0.75</v>
      </c>
      <c r="D70" s="376" t="s">
        <v>178</v>
      </c>
      <c r="E70" s="376">
        <v>0.25</v>
      </c>
      <c r="F70" s="376">
        <f>O17</f>
        <v>0.4</v>
      </c>
      <c r="G70" s="380">
        <v>1</v>
      </c>
      <c r="H70" s="376">
        <v>0</v>
      </c>
      <c r="I70" s="377">
        <v>0</v>
      </c>
      <c r="J70" s="376">
        <f>SUM(C70:H70)</f>
        <v>2.4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0.5</v>
      </c>
      <c r="D74" s="382">
        <f>IF(OR(E1="Monday",E1="Friday"),0.25,0.5)</f>
        <v>0.5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01"/>
  <sheetViews>
    <sheetView zoomScale="20" zoomScaleNormal="20" workbookViewId="0">
      <selection activeCell="K14" sqref="K14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45891</v>
      </c>
      <c r="E1" s="3" t="str">
        <f>TEXT(D1, "dddd")</f>
        <v>星期五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4" t="s">
        <v>12</v>
      </c>
      <c r="E3" s="23"/>
      <c r="F3" s="24" t="s">
        <v>198</v>
      </c>
      <c r="G3" s="26"/>
      <c r="H3" s="22" t="s">
        <v>47</v>
      </c>
      <c r="I3" s="26"/>
      <c r="J3" s="24" t="s">
        <v>100</v>
      </c>
      <c r="K3" s="26"/>
      <c r="L3" s="24" t="s">
        <v>267</v>
      </c>
      <c r="N3" s="24" t="s">
        <v>28</v>
      </c>
      <c r="O3" s="26"/>
      <c r="P3" s="675" t="s">
        <v>17</v>
      </c>
      <c r="Q3" s="676"/>
      <c r="R3" s="676"/>
      <c r="S3" s="677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22</v>
      </c>
      <c r="C4" s="21"/>
      <c r="D4" s="24" t="s">
        <v>23</v>
      </c>
      <c r="E4" s="26">
        <v>0.75</v>
      </c>
      <c r="F4" s="24" t="s">
        <v>265</v>
      </c>
      <c r="G4" s="21"/>
      <c r="H4" s="24" t="s">
        <v>25</v>
      </c>
      <c r="I4" s="26"/>
      <c r="J4" s="24" t="s">
        <v>26</v>
      </c>
      <c r="K4" s="32">
        <v>0.75</v>
      </c>
      <c r="L4" s="24" t="s">
        <v>243</v>
      </c>
      <c r="M4" s="26"/>
      <c r="N4" s="24" t="s">
        <v>16</v>
      </c>
      <c r="O4" s="21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268</v>
      </c>
      <c r="C5" s="21" t="s">
        <v>269</v>
      </c>
      <c r="D5" s="24"/>
      <c r="E5" s="26"/>
      <c r="F5" s="24"/>
      <c r="G5" s="26"/>
      <c r="H5" s="24" t="s">
        <v>37</v>
      </c>
      <c r="I5" s="25"/>
      <c r="J5" s="24" t="s">
        <v>14</v>
      </c>
      <c r="K5" s="26"/>
      <c r="L5" s="24" t="s">
        <v>27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6"/>
      <c r="H6" s="46"/>
      <c r="J6" s="24"/>
      <c r="K6" s="26"/>
      <c r="L6" s="24" t="s">
        <v>13</v>
      </c>
      <c r="M6" s="26" t="s">
        <v>188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21"/>
      <c r="L7" s="46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126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3" t="s">
        <v>270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2.5</v>
      </c>
      <c r="D9" s="61"/>
      <c r="E9" s="60">
        <v>1.75</v>
      </c>
      <c r="F9" s="32"/>
      <c r="G9" s="62">
        <v>2</v>
      </c>
      <c r="H9" s="63">
        <v>3</v>
      </c>
      <c r="I9" s="62">
        <f>H9-I11</f>
        <v>2.75</v>
      </c>
      <c r="J9" s="61"/>
      <c r="K9" s="60">
        <v>2.75</v>
      </c>
      <c r="L9" s="64">
        <v>3.5</v>
      </c>
      <c r="M9" s="62">
        <f>L9-M11</f>
        <v>3.5</v>
      </c>
      <c r="N9" s="56">
        <v>2</v>
      </c>
      <c r="O9" s="65">
        <f>N9-O11</f>
        <v>1.3</v>
      </c>
      <c r="P9" s="404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436"/>
      <c r="Q10" s="67"/>
      <c r="R10" s="67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1"/>
      <c r="C11" s="412"/>
      <c r="D11" s="83"/>
      <c r="E11" s="84"/>
      <c r="F11" s="85"/>
      <c r="G11" s="414"/>
      <c r="H11" s="87" t="s">
        <v>53</v>
      </c>
      <c r="I11" s="418">
        <v>0.25</v>
      </c>
      <c r="J11" s="85"/>
      <c r="K11" s="417"/>
      <c r="L11" s="415" t="s">
        <v>53</v>
      </c>
      <c r="M11" s="418">
        <v>0</v>
      </c>
      <c r="N11" s="85" t="s">
        <v>54</v>
      </c>
      <c r="O11" s="412">
        <v>0.7</v>
      </c>
      <c r="P11" s="92" t="s">
        <v>199</v>
      </c>
      <c r="Q11" s="92" t="s">
        <v>263</v>
      </c>
      <c r="R11" s="391" t="s">
        <v>189</v>
      </c>
      <c r="S11" s="400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 thickBot="1">
      <c r="A12" s="410" t="s">
        <v>58</v>
      </c>
      <c r="B12" s="398" t="s">
        <v>199</v>
      </c>
      <c r="C12" s="107" t="s">
        <v>213</v>
      </c>
      <c r="D12" s="97" t="s">
        <v>60</v>
      </c>
      <c r="E12" s="100" t="s">
        <v>59</v>
      </c>
      <c r="F12" s="408" t="s">
        <v>61</v>
      </c>
      <c r="G12" s="107" t="s">
        <v>59</v>
      </c>
      <c r="H12" s="97" t="s">
        <v>62</v>
      </c>
      <c r="I12" s="98" t="s">
        <v>59</v>
      </c>
      <c r="J12" s="97" t="s">
        <v>63</v>
      </c>
      <c r="K12" s="100" t="s">
        <v>36</v>
      </c>
      <c r="L12" s="99" t="s">
        <v>64</v>
      </c>
      <c r="M12" s="193" t="s">
        <v>213</v>
      </c>
      <c r="N12" s="405" t="s">
        <v>262</v>
      </c>
      <c r="O12" s="193" t="s">
        <v>213</v>
      </c>
      <c r="P12" s="92" t="s">
        <v>190</v>
      </c>
      <c r="Q12" s="92" t="s">
        <v>249</v>
      </c>
      <c r="R12" s="396" t="s">
        <v>271</v>
      </c>
      <c r="S12" s="4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1" t="s">
        <v>263</v>
      </c>
      <c r="C13" s="182" t="s">
        <v>248</v>
      </c>
      <c r="D13" s="391" t="s">
        <v>189</v>
      </c>
      <c r="E13" s="107" t="s">
        <v>78</v>
      </c>
      <c r="F13" s="391" t="s">
        <v>67</v>
      </c>
      <c r="G13" s="177" t="s">
        <v>72</v>
      </c>
      <c r="H13" s="391" t="s">
        <v>73</v>
      </c>
      <c r="I13" s="107" t="s">
        <v>191</v>
      </c>
      <c r="J13" s="391" t="s">
        <v>189</v>
      </c>
      <c r="K13" s="100" t="s">
        <v>203</v>
      </c>
      <c r="L13" s="391" t="s">
        <v>212</v>
      </c>
      <c r="M13" s="193" t="s">
        <v>213</v>
      </c>
      <c r="N13" s="391" t="s">
        <v>263</v>
      </c>
      <c r="O13" s="177" t="s">
        <v>72</v>
      </c>
      <c r="P13" s="92" t="s">
        <v>75</v>
      </c>
      <c r="Q13" s="92" t="s">
        <v>73</v>
      </c>
      <c r="R13" s="391"/>
      <c r="S13" s="4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2"/>
      <c r="C14" s="107"/>
      <c r="D14" s="391"/>
      <c r="E14" s="107"/>
      <c r="F14" s="391"/>
      <c r="G14" s="107"/>
      <c r="H14" s="391"/>
      <c r="I14" s="107"/>
      <c r="J14" s="391" t="s">
        <v>73</v>
      </c>
      <c r="K14" s="193" t="s">
        <v>74</v>
      </c>
      <c r="L14" s="391" t="s">
        <v>67</v>
      </c>
      <c r="M14" s="100" t="s">
        <v>78</v>
      </c>
      <c r="N14" s="421"/>
      <c r="O14" s="107"/>
      <c r="P14" s="109" t="s">
        <v>206</v>
      </c>
      <c r="Q14" s="92" t="s">
        <v>212</v>
      </c>
      <c r="R14" s="391"/>
      <c r="S14" s="402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392"/>
      <c r="C15" s="107"/>
      <c r="D15" s="395"/>
      <c r="E15" s="107"/>
      <c r="F15" s="99"/>
      <c r="G15" s="107"/>
      <c r="H15" s="106"/>
      <c r="J15" s="391" t="s">
        <v>263</v>
      </c>
      <c r="K15" s="193" t="s">
        <v>87</v>
      </c>
      <c r="L15" s="391"/>
      <c r="M15" s="100"/>
      <c r="N15" s="24"/>
      <c r="O15" s="107"/>
      <c r="P15" s="109" t="s">
        <v>82</v>
      </c>
      <c r="Q15" s="92" t="s">
        <v>272</v>
      </c>
      <c r="R15" s="391"/>
      <c r="S15" s="402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428"/>
      <c r="F16" s="125"/>
      <c r="G16" s="127"/>
      <c r="H16" s="128"/>
      <c r="I16" s="26"/>
      <c r="J16" s="391"/>
      <c r="K16" s="193"/>
      <c r="L16" s="129"/>
      <c r="N16" s="129"/>
      <c r="O16" s="52"/>
      <c r="P16" s="92" t="s">
        <v>273</v>
      </c>
      <c r="Q16" s="131" t="s">
        <v>262</v>
      </c>
      <c r="R16" s="391"/>
      <c r="S16" s="400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427"/>
      <c r="D17" s="433" t="s">
        <v>249</v>
      </c>
      <c r="E17" s="432" t="s">
        <v>85</v>
      </c>
      <c r="F17" s="433" t="s">
        <v>249</v>
      </c>
      <c r="G17" s="434" t="s">
        <v>86</v>
      </c>
      <c r="H17" s="125"/>
      <c r="I17" s="140"/>
      <c r="J17" s="46"/>
      <c r="K17" s="423"/>
      <c r="L17" s="125"/>
      <c r="M17" s="140"/>
      <c r="N17" s="141" t="s">
        <v>54</v>
      </c>
      <c r="O17" s="142">
        <v>0.4</v>
      </c>
      <c r="P17" s="678" t="s">
        <v>195</v>
      </c>
      <c r="Q17" s="679"/>
      <c r="R17" s="680"/>
      <c r="S17" s="681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B51</f>
        <v>1.6012084592145013</v>
      </c>
      <c r="C18" s="150"/>
      <c r="D18" s="148">
        <f>D51</f>
        <v>1.1208459214501509</v>
      </c>
      <c r="E18" s="149"/>
      <c r="F18" s="148">
        <f>F51</f>
        <v>1.280966767371601</v>
      </c>
      <c r="G18" s="150"/>
      <c r="H18" s="148">
        <f>H51</f>
        <v>1.7613293051359515</v>
      </c>
      <c r="I18" s="150"/>
      <c r="J18" s="148">
        <f>J51</f>
        <v>1.7613293051359515</v>
      </c>
      <c r="K18" s="149"/>
      <c r="L18" s="151">
        <f>L51</f>
        <v>2.2416918429003019</v>
      </c>
      <c r="M18" s="149"/>
      <c r="N18" s="152">
        <f>N51</f>
        <v>0.83262839879154071</v>
      </c>
      <c r="O18" s="149">
        <f>N18+O17</f>
        <v>1.2326283987915407</v>
      </c>
      <c r="P18" s="682"/>
      <c r="Q18" s="683"/>
      <c r="R18" s="683"/>
      <c r="S18" s="684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431"/>
      <c r="G19" s="158"/>
      <c r="H19" s="56"/>
      <c r="I19" s="107"/>
      <c r="J19" s="159"/>
      <c r="K19" s="160"/>
      <c r="L19" s="56"/>
      <c r="M19" s="107"/>
      <c r="N19" s="56"/>
      <c r="O19" s="107"/>
      <c r="P19" s="685" t="s">
        <v>90</v>
      </c>
      <c r="Q19" s="686"/>
      <c r="R19" s="686"/>
      <c r="S19" s="687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20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163"/>
      <c r="Q20" s="164"/>
      <c r="R20" s="164"/>
      <c r="S20" s="165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388.5" customHeight="1" thickBot="1">
      <c r="A21" s="51"/>
      <c r="B21" s="56"/>
      <c r="C21" s="182"/>
      <c r="D21" s="56"/>
      <c r="E21" s="107"/>
      <c r="F21" s="72"/>
      <c r="G21" s="167"/>
      <c r="H21" s="24"/>
      <c r="I21" s="107"/>
      <c r="J21" s="24"/>
      <c r="K21" s="20"/>
      <c r="L21" s="24"/>
      <c r="M21" s="107"/>
      <c r="N21" s="24"/>
      <c r="O21" s="20"/>
      <c r="P21" s="168"/>
      <c r="Q21" s="691" t="s">
        <v>93</v>
      </c>
      <c r="R21" s="691"/>
      <c r="S21" s="692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59">
      <c r="A22" s="19"/>
      <c r="D22" s="46"/>
      <c r="F22" s="170"/>
      <c r="G22" s="171"/>
      <c r="H22" s="24"/>
      <c r="I22" s="172"/>
      <c r="J22" s="173"/>
      <c r="K22" s="172"/>
      <c r="L22" s="174"/>
      <c r="M22" s="175"/>
      <c r="N22" s="176"/>
      <c r="O22" s="177"/>
      <c r="P22" s="693"/>
      <c r="Q22" s="694"/>
      <c r="R22" s="694"/>
      <c r="S22" s="695"/>
      <c r="T22" s="110"/>
      <c r="U22" s="178"/>
      <c r="V22" s="179"/>
      <c r="W22" s="180"/>
      <c r="Y22" s="181" t="s">
        <v>94</v>
      </c>
      <c r="Z22" s="156" t="s">
        <v>95</v>
      </c>
      <c r="AA22" s="136"/>
      <c r="AD22" s="8"/>
      <c r="AE22" s="8"/>
    </row>
    <row r="23" spans="1:60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K23" s="185"/>
      <c r="L23" s="186"/>
      <c r="M23" s="187"/>
      <c r="N23" s="159"/>
      <c r="O23" s="177"/>
      <c r="P23" s="696"/>
      <c r="Q23" s="697"/>
      <c r="R23" s="697"/>
      <c r="S23" s="698"/>
      <c r="T23" s="110"/>
      <c r="U23" s="178"/>
      <c r="V23" s="179"/>
      <c r="W23" s="180"/>
      <c r="Y23" s="181"/>
      <c r="Z23" s="156"/>
      <c r="AA23" s="136"/>
      <c r="AD23" s="8"/>
      <c r="AE23" s="8"/>
    </row>
    <row r="24" spans="1:60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173"/>
      <c r="M24" s="172"/>
      <c r="N24" s="159"/>
      <c r="O24" s="177"/>
      <c r="P24" s="188"/>
      <c r="Q24" s="189"/>
      <c r="R24" s="190"/>
      <c r="S24" s="189"/>
      <c r="T24" s="110"/>
      <c r="U24" s="178"/>
      <c r="V24" s="179"/>
      <c r="W24" s="180"/>
      <c r="Y24" s="191" t="s">
        <v>96</v>
      </c>
      <c r="Z24" s="192"/>
      <c r="AA24" s="136"/>
      <c r="AD24" s="8"/>
      <c r="AE24" s="8"/>
    </row>
    <row r="25" spans="1:60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59"/>
      <c r="O25" s="193"/>
      <c r="P25" s="49"/>
      <c r="Q25" s="49"/>
      <c r="R25" s="194"/>
      <c r="S25" s="50"/>
      <c r="T25" s="110"/>
      <c r="U25" s="178"/>
      <c r="V25" s="179"/>
      <c r="W25" s="180"/>
      <c r="Y25" s="191"/>
      <c r="Z25" s="192"/>
      <c r="AA25" s="136"/>
      <c r="AD25" s="8"/>
      <c r="AE25" s="8"/>
    </row>
    <row r="26" spans="1:60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56"/>
      <c r="O26" s="197"/>
      <c r="Q26" s="49"/>
      <c r="R26" s="189" t="s">
        <v>264</v>
      </c>
      <c r="S26" s="49"/>
      <c r="T26" s="198"/>
      <c r="U26" s="199"/>
      <c r="V26" s="200"/>
      <c r="W26" s="201"/>
      <c r="Y26" s="202" t="s">
        <v>97</v>
      </c>
      <c r="Z26" s="192"/>
      <c r="AA26" s="136"/>
      <c r="AD26" s="8"/>
      <c r="AE26" s="8"/>
    </row>
    <row r="27" spans="1:60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97"/>
      <c r="P27" s="205"/>
      <c r="Q27" s="206"/>
      <c r="R27" s="205"/>
      <c r="S27" s="205"/>
      <c r="T27" s="198"/>
      <c r="U27" s="199"/>
      <c r="V27" s="200"/>
      <c r="W27" s="201"/>
      <c r="Y27" s="207"/>
      <c r="Z27" s="192"/>
      <c r="AA27" s="136"/>
      <c r="AB27" s="8"/>
      <c r="AD27" s="8"/>
      <c r="AE27" s="8"/>
    </row>
    <row r="28" spans="1:60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56"/>
      <c r="O28" s="197"/>
      <c r="P28" s="93"/>
      <c r="Q28" s="93"/>
      <c r="R28" s="93"/>
      <c r="S28" s="93"/>
      <c r="T28" s="210"/>
      <c r="U28" s="199"/>
      <c r="V28" s="200"/>
      <c r="W28" s="201"/>
      <c r="Y28" s="46"/>
      <c r="Z28" s="192"/>
      <c r="AA28" s="136"/>
      <c r="AD28" s="8"/>
      <c r="AE28" s="8"/>
    </row>
    <row r="29" spans="1:60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56"/>
      <c r="O29" s="212"/>
      <c r="P29" s="194"/>
      <c r="Q29" s="189"/>
      <c r="R29" s="49"/>
      <c r="S29" s="49"/>
      <c r="T29" s="213"/>
      <c r="U29" s="199"/>
      <c r="V29" s="214"/>
      <c r="W29" s="201"/>
      <c r="Y29" s="215"/>
      <c r="Z29" s="192"/>
      <c r="AA29" s="136"/>
      <c r="AD29" s="8"/>
      <c r="AE29" s="8"/>
    </row>
    <row r="30" spans="1:60" s="192" customFormat="1" ht="83.25" customHeight="1" thickBot="1">
      <c r="A30" s="216"/>
      <c r="B30" s="217">
        <f>B44</f>
        <v>2.3413897280966722</v>
      </c>
      <c r="C30" s="218"/>
      <c r="D30" s="219">
        <f>D44</f>
        <v>-9.8610271903323294</v>
      </c>
      <c r="E30" s="220"/>
      <c r="F30" s="221">
        <f>F44</f>
        <v>-12.126888217522662</v>
      </c>
      <c r="G30" s="221"/>
      <c r="H30" s="217">
        <f>H44</f>
        <v>20.075528700906347</v>
      </c>
      <c r="I30" s="218"/>
      <c r="J30" s="217">
        <f>J44</f>
        <v>15.075528700906347</v>
      </c>
      <c r="K30" s="222"/>
      <c r="L30" s="217">
        <f>L44</f>
        <v>-1.7220543806646589</v>
      </c>
      <c r="M30" s="222"/>
      <c r="N30" s="152">
        <f>N44</f>
        <v>-13.782477341389729</v>
      </c>
      <c r="O30" s="218"/>
      <c r="P30" s="223"/>
      <c r="Q30" s="224"/>
      <c r="R30" s="224"/>
      <c r="S30" s="224"/>
      <c r="T30" s="225"/>
      <c r="U30" s="226"/>
      <c r="V30" s="227"/>
      <c r="W30" s="228"/>
      <c r="Y30" s="192" t="s">
        <v>98</v>
      </c>
    </row>
    <row r="31" spans="1:60" ht="273" customHeight="1" thickTop="1">
      <c r="A31" s="19"/>
      <c r="B31" s="24" t="s">
        <v>33</v>
      </c>
      <c r="C31" s="229" t="s">
        <v>99</v>
      </c>
      <c r="D31" s="419" t="s">
        <v>34</v>
      </c>
      <c r="E31" s="229" t="s">
        <v>99</v>
      </c>
      <c r="F31" s="419"/>
      <c r="G31" s="229"/>
      <c r="H31" s="24"/>
      <c r="I31" s="229"/>
      <c r="J31" s="24" t="s">
        <v>26</v>
      </c>
      <c r="K31" s="229" t="s">
        <v>274</v>
      </c>
      <c r="L31" s="22" t="s">
        <v>38</v>
      </c>
      <c r="M31" s="229" t="s">
        <v>99</v>
      </c>
      <c r="N31" s="22"/>
      <c r="O31" s="435"/>
      <c r="P31" s="231" t="s">
        <v>53</v>
      </c>
      <c r="Q31" s="232" t="s">
        <v>102</v>
      </c>
      <c r="R31" s="233"/>
      <c r="S31" s="234"/>
      <c r="T31" s="110"/>
      <c r="U31" s="28"/>
      <c r="V31" s="235"/>
      <c r="W31" s="236"/>
    </row>
    <row r="32" spans="1:60" ht="222" customHeight="1">
      <c r="A32" s="96"/>
      <c r="B32" s="24"/>
      <c r="C32" s="107"/>
      <c r="D32" s="24" t="s">
        <v>23</v>
      </c>
      <c r="E32" s="229" t="s">
        <v>274</v>
      </c>
      <c r="F32" s="24"/>
      <c r="G32" s="229"/>
      <c r="H32" s="24"/>
      <c r="I32" s="230"/>
      <c r="J32" s="24"/>
      <c r="K32" s="229"/>
      <c r="L32" s="24"/>
      <c r="M32" s="107"/>
      <c r="N32" s="24"/>
      <c r="O32" s="229"/>
      <c r="P32" s="237" t="s">
        <v>103</v>
      </c>
      <c r="Q32" s="238"/>
      <c r="R32" s="239"/>
      <c r="S32" s="234"/>
      <c r="T32" s="68"/>
      <c r="U32" s="28"/>
      <c r="V32" s="201"/>
      <c r="W32" s="201"/>
      <c r="Y32" s="240" t="s">
        <v>104</v>
      </c>
      <c r="Z32" s="240"/>
      <c r="AA32" s="240" t="s">
        <v>105</v>
      </c>
      <c r="AB32" s="240" t="s">
        <v>106</v>
      </c>
      <c r="AC32" s="8" t="s">
        <v>107</v>
      </c>
      <c r="AD32" s="192"/>
      <c r="AE32" s="192"/>
      <c r="AF32" s="192"/>
      <c r="AG32" s="192"/>
      <c r="AH32" s="192"/>
    </row>
    <row r="33" spans="1:31" ht="168.75" customHeight="1">
      <c r="A33" s="19"/>
      <c r="B33" s="241"/>
      <c r="C33" s="107"/>
      <c r="D33" s="242"/>
      <c r="E33" s="243"/>
      <c r="F33" s="244"/>
      <c r="G33" s="241"/>
      <c r="H33" s="24"/>
      <c r="I33" s="230"/>
      <c r="J33" s="72"/>
      <c r="K33" s="20"/>
      <c r="L33" s="24"/>
      <c r="M33" s="229"/>
      <c r="N33" s="24"/>
      <c r="O33" s="107"/>
      <c r="P33" s="245" t="s">
        <v>108</v>
      </c>
      <c r="Q33" s="246" t="s">
        <v>197</v>
      </c>
      <c r="R33" s="232" t="s">
        <v>109</v>
      </c>
      <c r="S33" s="247" t="s">
        <v>110</v>
      </c>
      <c r="T33" s="68"/>
      <c r="U33" s="123"/>
      <c r="V33" s="201"/>
      <c r="W33" s="201"/>
      <c r="Y33" s="9" t="s">
        <v>111</v>
      </c>
      <c r="Z33" s="9"/>
      <c r="AA33" s="9" t="s">
        <v>105</v>
      </c>
      <c r="AB33" s="9" t="s">
        <v>112</v>
      </c>
      <c r="AC33" s="9" t="s">
        <v>113</v>
      </c>
      <c r="AD33" s="8"/>
      <c r="AE33" s="8"/>
    </row>
    <row r="34" spans="1:31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56"/>
      <c r="O34" s="57"/>
      <c r="P34" s="252" t="s">
        <v>114</v>
      </c>
      <c r="Q34" s="253" t="s">
        <v>115</v>
      </c>
      <c r="R34" s="233" t="s">
        <v>116</v>
      </c>
      <c r="S34" s="49"/>
      <c r="T34" s="68"/>
      <c r="U34" s="123"/>
      <c r="V34" s="201"/>
      <c r="W34" s="201" t="s">
        <v>117</v>
      </c>
      <c r="Y34" s="9" t="s">
        <v>2</v>
      </c>
      <c r="Z34" s="9"/>
      <c r="AA34" s="9" t="s">
        <v>105</v>
      </c>
      <c r="AB34" s="9" t="s">
        <v>118</v>
      </c>
      <c r="AC34" s="9" t="s">
        <v>113</v>
      </c>
      <c r="AD34" s="8"/>
      <c r="AE34" s="8"/>
    </row>
    <row r="35" spans="1:31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56"/>
      <c r="O35" s="57"/>
      <c r="P35" s="259"/>
      <c r="Q35" s="260"/>
      <c r="R35" s="260"/>
      <c r="S35" s="261"/>
      <c r="T35" s="68"/>
      <c r="U35" s="123"/>
      <c r="V35" s="200"/>
      <c r="W35" s="201"/>
      <c r="Y35" s="9" t="s">
        <v>119</v>
      </c>
      <c r="Z35" s="9"/>
      <c r="AA35" s="9" t="s">
        <v>120</v>
      </c>
      <c r="AB35" s="9" t="s">
        <v>121</v>
      </c>
      <c r="AC35" s="9" t="s">
        <v>122</v>
      </c>
      <c r="AD35" s="8" t="s">
        <v>107</v>
      </c>
      <c r="AE35" s="8"/>
    </row>
    <row r="36" spans="1:31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6"/>
      <c r="O36" s="267"/>
      <c r="P36" s="268"/>
      <c r="Q36" s="269"/>
      <c r="R36" s="269"/>
      <c r="S36" s="270"/>
      <c r="T36" s="271"/>
      <c r="U36" s="272"/>
      <c r="V36" s="228"/>
      <c r="W36" s="228"/>
      <c r="Y36" s="9" t="s">
        <v>123</v>
      </c>
      <c r="Z36" s="9"/>
      <c r="AA36" s="9" t="s">
        <v>120</v>
      </c>
      <c r="AB36" s="9" t="s">
        <v>124</v>
      </c>
      <c r="AC36" s="9" t="s">
        <v>113</v>
      </c>
      <c r="AD36" s="8"/>
      <c r="AE36" s="8"/>
    </row>
    <row r="37" spans="1:31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77"/>
      <c r="M37" s="200"/>
      <c r="N37" s="279"/>
      <c r="O37" s="200"/>
      <c r="P37" s="280"/>
      <c r="Q37" s="281"/>
      <c r="R37" s="281"/>
      <c r="S37" s="282"/>
      <c r="T37" s="274" t="s">
        <v>128</v>
      </c>
      <c r="U37" s="283"/>
      <c r="V37" s="214"/>
      <c r="W37" s="201"/>
      <c r="Y37" s="9" t="s">
        <v>18</v>
      </c>
      <c r="Z37" s="9"/>
      <c r="AA37" s="9" t="s">
        <v>129</v>
      </c>
      <c r="AC37" s="9" t="s">
        <v>130</v>
      </c>
      <c r="AD37" s="8" t="s">
        <v>131</v>
      </c>
      <c r="AE37" s="8"/>
    </row>
    <row r="38" spans="1:31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82"/>
      <c r="R38" s="282"/>
      <c r="S38" s="282"/>
      <c r="T38" s="274" t="s">
        <v>132</v>
      </c>
      <c r="U38" s="200"/>
      <c r="V38" s="214"/>
      <c r="W38" s="201"/>
      <c r="Y38" s="9"/>
      <c r="Z38" s="9"/>
      <c r="AA38" s="9" t="s">
        <v>133</v>
      </c>
      <c r="AB38" s="9" t="s">
        <v>134</v>
      </c>
      <c r="AC38" s="9" t="s">
        <v>130</v>
      </c>
      <c r="AD38" s="8"/>
      <c r="AE38" s="8"/>
    </row>
    <row r="39" spans="1:31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46"/>
      <c r="R39" s="288"/>
      <c r="S39" s="288"/>
      <c r="T39" s="289"/>
      <c r="U39" s="290"/>
      <c r="V39" s="291"/>
      <c r="W39" s="292"/>
      <c r="Y39" s="9"/>
      <c r="Z39" s="9"/>
      <c r="AD39" s="8"/>
      <c r="AE39" s="8"/>
    </row>
    <row r="40" spans="1:31" ht="31.5" customHeight="1" thickTop="1">
      <c r="A40" s="293" t="s">
        <v>135</v>
      </c>
      <c r="B40" s="294">
        <f>B45+D45+F45+H45+J45+N45+L45</f>
        <v>512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9"/>
      <c r="O40" s="300"/>
      <c r="P40" s="291"/>
      <c r="Q40" s="288"/>
      <c r="R40" s="301"/>
      <c r="S40" s="301"/>
      <c r="T40" s="669"/>
      <c r="U40" s="670"/>
      <c r="V40" s="670"/>
      <c r="W40" s="671"/>
      <c r="X40" s="302"/>
      <c r="Y40" s="303"/>
    </row>
    <row r="41" spans="1:31" ht="73" thickBot="1">
      <c r="A41" s="304" t="s">
        <v>136</v>
      </c>
      <c r="B41" s="305">
        <f>SUM(B43:R43)</f>
        <v>16.55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9"/>
      <c r="O41" s="300"/>
      <c r="P41" s="282"/>
      <c r="Q41" s="115"/>
      <c r="R41" s="301"/>
      <c r="S41" s="301"/>
      <c r="T41" s="672"/>
      <c r="U41" s="673"/>
      <c r="V41" s="673"/>
      <c r="W41" s="674"/>
      <c r="X41" s="302"/>
      <c r="Y41" s="303"/>
    </row>
    <row r="42" spans="1:31" ht="72">
      <c r="A42" s="304" t="s">
        <v>137</v>
      </c>
      <c r="B42" s="294">
        <f>B40/B41</f>
        <v>30.936555891238669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6"/>
      <c r="S42" s="306"/>
      <c r="T42" s="307"/>
      <c r="U42" s="308"/>
      <c r="V42" s="308"/>
      <c r="W42" s="309"/>
      <c r="X42" s="306"/>
      <c r="Y42" s="303"/>
    </row>
    <row r="43" spans="1:31" ht="72">
      <c r="A43" s="310" t="s">
        <v>138</v>
      </c>
      <c r="B43" s="305">
        <f>C9</f>
        <v>2.5</v>
      </c>
      <c r="C43" s="295"/>
      <c r="D43" s="296">
        <f>E9</f>
        <v>1.75</v>
      </c>
      <c r="E43" s="297"/>
      <c r="F43" s="296">
        <f>G9</f>
        <v>2</v>
      </c>
      <c r="G43" s="297"/>
      <c r="H43" s="278">
        <f>I9</f>
        <v>2.75</v>
      </c>
      <c r="I43" s="299"/>
      <c r="J43" s="278">
        <f>K9</f>
        <v>2.75</v>
      </c>
      <c r="K43" s="299"/>
      <c r="L43" s="278">
        <f>M9</f>
        <v>3.5</v>
      </c>
      <c r="M43" s="299"/>
      <c r="N43" s="311">
        <f>O9</f>
        <v>1.3</v>
      </c>
      <c r="O43" s="300"/>
      <c r="P43" s="312"/>
      <c r="Q43" s="313"/>
      <c r="R43" s="313"/>
      <c r="S43" s="313"/>
      <c r="T43" s="314"/>
      <c r="U43" s="315"/>
      <c r="V43" s="315"/>
      <c r="W43" s="316"/>
      <c r="X43" s="317"/>
      <c r="Y43" s="303"/>
    </row>
    <row r="44" spans="1:31" ht="72">
      <c r="A44" s="304" t="s">
        <v>139</v>
      </c>
      <c r="B44" s="294">
        <f>B40/B41*B43-B45</f>
        <v>2.3413897280966722</v>
      </c>
      <c r="C44" s="295"/>
      <c r="D44" s="318">
        <f>B40/B41*D43-D45</f>
        <v>-9.8610271903323294</v>
      </c>
      <c r="E44" s="319"/>
      <c r="F44" s="318">
        <f>B40/B41*F43-F45</f>
        <v>-12.126888217522662</v>
      </c>
      <c r="G44" s="320"/>
      <c r="H44" s="321">
        <f>B40/B41*H43-H45</f>
        <v>20.075528700906347</v>
      </c>
      <c r="I44" s="322"/>
      <c r="J44" s="321">
        <f>B40/B41*J43-J45</f>
        <v>15.075528700906347</v>
      </c>
      <c r="K44" s="322"/>
      <c r="L44" s="321">
        <f>B40/B41*L43-L45</f>
        <v>-1.7220543806646589</v>
      </c>
      <c r="M44" s="322"/>
      <c r="N44" s="311">
        <f>B40/B41*N43-N45</f>
        <v>-13.782477341389729</v>
      </c>
      <c r="O44" s="323"/>
      <c r="P44" s="324"/>
      <c r="Q44" s="324"/>
      <c r="R44" s="324"/>
      <c r="S44" s="325"/>
      <c r="T44" s="326"/>
      <c r="U44" s="327"/>
      <c r="V44" s="328"/>
      <c r="W44" s="329"/>
      <c r="X44" s="330"/>
      <c r="Y44" s="303"/>
    </row>
    <row r="45" spans="1:31" ht="73" thickBot="1">
      <c r="A45" s="310" t="s">
        <v>140</v>
      </c>
      <c r="B45" s="294">
        <v>75</v>
      </c>
      <c r="C45" s="295"/>
      <c r="D45" s="331">
        <v>64</v>
      </c>
      <c r="E45" s="130" t="s">
        <v>275</v>
      </c>
      <c r="F45" s="318">
        <v>74</v>
      </c>
      <c r="G45" s="320"/>
      <c r="H45" s="332">
        <v>65</v>
      </c>
      <c r="J45" s="321">
        <v>70</v>
      </c>
      <c r="K45" s="322"/>
      <c r="L45" s="333">
        <v>110</v>
      </c>
      <c r="M45" s="322"/>
      <c r="N45" s="334">
        <v>54</v>
      </c>
      <c r="O45" s="335"/>
      <c r="P45" s="336"/>
      <c r="Q45" s="325"/>
      <c r="R45" s="336"/>
      <c r="S45" s="325"/>
      <c r="T45" s="337"/>
      <c r="U45" s="338"/>
      <c r="V45" s="339"/>
      <c r="W45" s="340"/>
      <c r="X45" s="330"/>
      <c r="Y45" s="303"/>
    </row>
    <row r="46" spans="1:31" ht="120.75" customHeight="1" thickBot="1">
      <c r="A46" s="341" t="s">
        <v>142</v>
      </c>
      <c r="B46" s="342" t="s">
        <v>143</v>
      </c>
      <c r="C46" s="343">
        <v>73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147</v>
      </c>
      <c r="K46" s="348" t="s">
        <v>148</v>
      </c>
      <c r="L46" s="349" t="s">
        <v>149</v>
      </c>
      <c r="M46" s="348" t="s">
        <v>150</v>
      </c>
      <c r="N46" s="350" t="s">
        <v>151</v>
      </c>
      <c r="O46" s="351">
        <v>54</v>
      </c>
      <c r="P46" s="325"/>
      <c r="Q46" s="303"/>
      <c r="R46" s="325"/>
      <c r="S46" s="303"/>
      <c r="T46" s="352"/>
      <c r="U46" s="353"/>
      <c r="V46" s="328"/>
      <c r="W46" s="328"/>
      <c r="X46" s="330"/>
      <c r="Y46" s="303"/>
      <c r="AA46" s="9" t="s">
        <v>152</v>
      </c>
    </row>
    <row r="47" spans="1:31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6"/>
      <c r="O47" s="354"/>
      <c r="P47" s="354"/>
      <c r="Q47" s="354"/>
      <c r="R47" s="354"/>
      <c r="S47" s="354"/>
      <c r="T47" s="354"/>
      <c r="U47" s="354"/>
      <c r="V47" s="354"/>
      <c r="W47" s="354"/>
      <c r="X47" s="303"/>
      <c r="Y47" s="303"/>
    </row>
    <row r="48" spans="1:31" ht="72">
      <c r="A48" s="357" t="s">
        <v>153</v>
      </c>
      <c r="B48" s="354">
        <f>14-J69+I69+K69</f>
        <v>10.6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8"/>
      <c r="W48" s="358"/>
    </row>
    <row r="49" spans="1:25" ht="72">
      <c r="A49" s="357" t="s">
        <v>154</v>
      </c>
      <c r="B49" s="359">
        <f>B40/B48</f>
        <v>48.301886792452834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155</v>
      </c>
      <c r="B50" s="354">
        <f>B42*B43</f>
        <v>77.341389728096672</v>
      </c>
      <c r="C50" s="354"/>
      <c r="D50" s="354">
        <f>B42*D43</f>
        <v>54.138972809667671</v>
      </c>
      <c r="E50" s="354"/>
      <c r="F50" s="354">
        <f>B42*F43</f>
        <v>61.873111782477338</v>
      </c>
      <c r="G50" s="354"/>
      <c r="H50" s="359">
        <f>B42*H43</f>
        <v>85.075528700906347</v>
      </c>
      <c r="I50" s="354"/>
      <c r="J50" s="354">
        <f>B42*J43</f>
        <v>85.075528700906347</v>
      </c>
      <c r="K50" s="354"/>
      <c r="L50" s="359">
        <f>B42*L43</f>
        <v>108.27794561933534</v>
      </c>
      <c r="M50" s="354"/>
      <c r="N50" s="354">
        <f>B42*N43</f>
        <v>40.217522658610271</v>
      </c>
      <c r="O50" s="354"/>
      <c r="P50" s="354"/>
      <c r="Q50" s="354"/>
      <c r="R50" s="354"/>
      <c r="S50" s="354"/>
      <c r="T50" s="354"/>
      <c r="U50" s="354"/>
      <c r="V50" s="354"/>
      <c r="W50" s="354"/>
      <c r="X50" s="303"/>
      <c r="Y50" s="303"/>
    </row>
    <row r="51" spans="1:25" ht="72">
      <c r="A51" s="357" t="s">
        <v>156</v>
      </c>
      <c r="B51" s="354">
        <f>B50/B49</f>
        <v>1.6012084592145013</v>
      </c>
      <c r="C51" s="354"/>
      <c r="D51" s="354">
        <f>D50/B49</f>
        <v>1.1208459214501509</v>
      </c>
      <c r="E51" s="354"/>
      <c r="F51" s="354">
        <f>F50/B49</f>
        <v>1.280966767371601</v>
      </c>
      <c r="G51" s="354"/>
      <c r="H51" s="354">
        <f>H50/B49</f>
        <v>1.7613293051359515</v>
      </c>
      <c r="I51" s="354"/>
      <c r="J51" s="354">
        <f>J50/B49</f>
        <v>1.7613293051359515</v>
      </c>
      <c r="K51" s="354"/>
      <c r="L51" s="359">
        <f>L50/B49</f>
        <v>2.2416918429003019</v>
      </c>
      <c r="M51" s="354"/>
      <c r="N51" s="354">
        <f>N50/B49</f>
        <v>0.83262839879154071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4"/>
      <c r="X54" s="303"/>
      <c r="Y54" s="303"/>
    </row>
    <row r="55" spans="1:25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53"/>
      <c r="Q58" s="353"/>
      <c r="R58" s="353"/>
      <c r="S58" s="353"/>
      <c r="T58" s="353"/>
      <c r="U58" s="353"/>
      <c r="V58" s="353"/>
      <c r="W58" s="355"/>
      <c r="X58" s="364"/>
      <c r="Y58" s="364"/>
    </row>
    <row r="59" spans="1:25">
      <c r="A59" s="364"/>
      <c r="B59" s="367" t="s">
        <v>162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53"/>
      <c r="W59" s="355"/>
      <c r="X59" s="364"/>
      <c r="Y59" s="364"/>
    </row>
    <row r="60" spans="1:25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8"/>
      <c r="R60" s="368"/>
      <c r="S60" s="368"/>
      <c r="T60" s="368"/>
      <c r="U60" s="368"/>
      <c r="V60" s="369"/>
      <c r="W60" s="364"/>
      <c r="X60" s="364"/>
      <c r="Y60" s="364"/>
    </row>
    <row r="61" spans="1:25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7" t="s">
        <v>165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</row>
    <row r="67" spans="1:25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</row>
    <row r="68" spans="1:25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6"/>
      <c r="C69" s="376">
        <v>1</v>
      </c>
      <c r="D69" s="376" t="s">
        <v>178</v>
      </c>
      <c r="E69" s="376">
        <v>0</v>
      </c>
      <c r="F69" s="376">
        <f>O17</f>
        <v>0.4</v>
      </c>
      <c r="G69" s="380">
        <v>2</v>
      </c>
      <c r="H69" s="376">
        <v>0</v>
      </c>
      <c r="I69" s="377">
        <v>0</v>
      </c>
      <c r="J69" s="376">
        <f>SUM(C69:H69)</f>
        <v>3.4</v>
      </c>
      <c r="K69" s="378">
        <v>0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2" spans="1:25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5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5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</row>
    <row r="77" spans="1:25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4:18">
      <c r="N98" s="385"/>
      <c r="O98" s="385"/>
      <c r="P98" s="385"/>
      <c r="Q98" s="385"/>
      <c r="R98" s="385"/>
    </row>
    <row r="99" spans="14:18">
      <c r="N99" s="386"/>
      <c r="O99" s="386"/>
      <c r="P99" s="386"/>
      <c r="Q99" s="386"/>
      <c r="R99" s="386"/>
    </row>
    <row r="100" spans="14:18">
      <c r="N100" s="386"/>
      <c r="O100" s="386"/>
      <c r="P100" s="386"/>
      <c r="Q100" s="386"/>
      <c r="R100" s="386"/>
    </row>
    <row r="101" spans="14:18" ht="36" thickBot="1">
      <c r="N101" s="387"/>
      <c r="O101" s="387"/>
      <c r="P101" s="387"/>
      <c r="Q101" s="388"/>
      <c r="R101" s="389"/>
    </row>
  </sheetData>
  <mergeCells count="6">
    <mergeCell ref="T40:W41"/>
    <mergeCell ref="P3:S3"/>
    <mergeCell ref="P17:S18"/>
    <mergeCell ref="P19:S19"/>
    <mergeCell ref="Q21:S21"/>
    <mergeCell ref="P22:S23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01"/>
  <sheetViews>
    <sheetView zoomScale="20" zoomScaleNormal="20" workbookViewId="0">
      <selection activeCell="D23" sqref="D23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45896</v>
      </c>
      <c r="E1" s="3" t="str">
        <f>TEXT(D1, "dddd")</f>
        <v>星期三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4" t="s">
        <v>12</v>
      </c>
      <c r="E3" s="23"/>
      <c r="F3" s="24" t="s">
        <v>198</v>
      </c>
      <c r="G3" s="26"/>
      <c r="H3" s="22" t="s">
        <v>47</v>
      </c>
      <c r="I3" s="26"/>
      <c r="J3" s="24" t="s">
        <v>100</v>
      </c>
      <c r="K3" s="26"/>
      <c r="L3" s="24" t="s">
        <v>267</v>
      </c>
      <c r="M3" s="20">
        <v>0.75</v>
      </c>
      <c r="N3" s="24" t="s">
        <v>28</v>
      </c>
      <c r="O3" s="26"/>
      <c r="P3" s="675" t="s">
        <v>17</v>
      </c>
      <c r="Q3" s="676"/>
      <c r="R3" s="676"/>
      <c r="S3" s="677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22</v>
      </c>
      <c r="C4" s="21"/>
      <c r="D4" s="24" t="s">
        <v>23</v>
      </c>
      <c r="E4" s="26"/>
      <c r="F4" s="24" t="s">
        <v>265</v>
      </c>
      <c r="G4" s="21"/>
      <c r="H4" s="24" t="s">
        <v>25</v>
      </c>
      <c r="I4" s="26"/>
      <c r="J4" s="24" t="s">
        <v>26</v>
      </c>
      <c r="K4" s="32"/>
      <c r="L4" s="24" t="s">
        <v>243</v>
      </c>
      <c r="M4" s="26"/>
      <c r="N4" s="24" t="s">
        <v>16</v>
      </c>
      <c r="O4" s="21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33</v>
      </c>
      <c r="C5" s="21"/>
      <c r="D5" s="24"/>
      <c r="E5" s="26"/>
      <c r="F5" s="24" t="s">
        <v>13</v>
      </c>
      <c r="G5" s="26" t="s">
        <v>192</v>
      </c>
      <c r="H5" s="24" t="s">
        <v>37</v>
      </c>
      <c r="I5" s="25"/>
      <c r="J5" s="24" t="s">
        <v>14</v>
      </c>
      <c r="K5" s="26"/>
      <c r="L5" s="24" t="s">
        <v>27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6"/>
      <c r="H6" s="46"/>
      <c r="J6" s="24"/>
      <c r="K6" s="26"/>
      <c r="L6" s="24" t="s">
        <v>277</v>
      </c>
      <c r="M6" s="26" t="s">
        <v>278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21"/>
      <c r="L7" s="24" t="s">
        <v>13</v>
      </c>
      <c r="M7" s="20" t="s">
        <v>279</v>
      </c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3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3" t="s">
        <v>276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3</v>
      </c>
      <c r="D9" s="61"/>
      <c r="E9" s="60">
        <v>2</v>
      </c>
      <c r="F9" s="32"/>
      <c r="G9" s="62">
        <v>2.5</v>
      </c>
      <c r="H9" s="63">
        <v>3</v>
      </c>
      <c r="I9" s="62">
        <f>H9-I11</f>
        <v>3</v>
      </c>
      <c r="J9" s="61"/>
      <c r="K9" s="60">
        <v>3</v>
      </c>
      <c r="L9" s="64">
        <v>3.3</v>
      </c>
      <c r="M9" s="62">
        <f>L9-M11</f>
        <v>3.3</v>
      </c>
      <c r="N9" s="56">
        <v>2</v>
      </c>
      <c r="O9" s="65">
        <f>N9-O11</f>
        <v>1.3</v>
      </c>
      <c r="P9" s="404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436"/>
      <c r="Q10" s="67"/>
      <c r="R10" s="67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1"/>
      <c r="C11" s="412"/>
      <c r="D11" s="83"/>
      <c r="E11" s="84"/>
      <c r="F11" s="85"/>
      <c r="G11" s="414"/>
      <c r="H11" s="87" t="s">
        <v>53</v>
      </c>
      <c r="I11" s="418">
        <v>0</v>
      </c>
      <c r="J11" s="85"/>
      <c r="K11" s="417"/>
      <c r="L11" s="415" t="s">
        <v>53</v>
      </c>
      <c r="M11" s="418">
        <v>0</v>
      </c>
      <c r="N11" s="85" t="s">
        <v>54</v>
      </c>
      <c r="O11" s="412">
        <v>0.7</v>
      </c>
      <c r="P11" s="92" t="s">
        <v>280</v>
      </c>
      <c r="Q11" s="92" t="s">
        <v>281</v>
      </c>
      <c r="R11" s="92" t="s">
        <v>189</v>
      </c>
      <c r="S11" s="400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 thickBot="1">
      <c r="A12" s="410" t="s">
        <v>58</v>
      </c>
      <c r="B12" s="398" t="s">
        <v>199</v>
      </c>
      <c r="C12" s="107" t="s">
        <v>191</v>
      </c>
      <c r="D12" s="97" t="s">
        <v>60</v>
      </c>
      <c r="E12" s="100" t="s">
        <v>59</v>
      </c>
      <c r="F12" s="408" t="s">
        <v>61</v>
      </c>
      <c r="G12" s="107" t="s">
        <v>59</v>
      </c>
      <c r="H12" s="97" t="s">
        <v>62</v>
      </c>
      <c r="I12" s="98" t="s">
        <v>59</v>
      </c>
      <c r="J12" s="97" t="s">
        <v>63</v>
      </c>
      <c r="K12" s="193" t="s">
        <v>213</v>
      </c>
      <c r="L12" s="99" t="s">
        <v>64</v>
      </c>
      <c r="M12" s="193" t="s">
        <v>213</v>
      </c>
      <c r="N12" s="405" t="s">
        <v>262</v>
      </c>
      <c r="O12" s="193" t="s">
        <v>213</v>
      </c>
      <c r="P12" s="92" t="s">
        <v>190</v>
      </c>
      <c r="Q12" s="92" t="s">
        <v>249</v>
      </c>
      <c r="R12" s="396" t="s">
        <v>200</v>
      </c>
      <c r="S12" s="4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5" t="s">
        <v>200</v>
      </c>
      <c r="C13" s="182" t="s">
        <v>213</v>
      </c>
      <c r="D13" s="395"/>
      <c r="E13" s="107"/>
      <c r="F13" s="391" t="s">
        <v>73</v>
      </c>
      <c r="G13" s="440" t="s">
        <v>282</v>
      </c>
      <c r="H13" s="391" t="s">
        <v>189</v>
      </c>
      <c r="I13" s="107" t="s">
        <v>191</v>
      </c>
      <c r="J13" s="391" t="s">
        <v>189</v>
      </c>
      <c r="K13" s="193" t="s">
        <v>74</v>
      </c>
      <c r="L13" s="391" t="s">
        <v>212</v>
      </c>
      <c r="M13" s="193" t="s">
        <v>283</v>
      </c>
      <c r="N13" s="391" t="s">
        <v>218</v>
      </c>
      <c r="O13" s="177" t="s">
        <v>72</v>
      </c>
      <c r="P13" s="92" t="s">
        <v>75</v>
      </c>
      <c r="Q13" s="92" t="s">
        <v>73</v>
      </c>
      <c r="R13" s="391"/>
      <c r="S13" s="4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5"/>
      <c r="C14" s="107"/>
      <c r="D14" s="391"/>
      <c r="E14" s="107"/>
      <c r="F14" s="391"/>
      <c r="G14" s="107"/>
      <c r="H14" s="391"/>
      <c r="I14" s="107"/>
      <c r="J14" s="391" t="s">
        <v>73</v>
      </c>
      <c r="K14" s="193" t="s">
        <v>78</v>
      </c>
      <c r="L14" s="391"/>
      <c r="M14" s="100"/>
      <c r="N14" s="421"/>
      <c r="O14" s="107"/>
      <c r="P14" s="109" t="s">
        <v>206</v>
      </c>
      <c r="Q14" s="92" t="s">
        <v>212</v>
      </c>
      <c r="R14" s="391"/>
      <c r="S14" s="402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391"/>
      <c r="C15" s="439"/>
      <c r="D15" s="395"/>
      <c r="E15" s="107"/>
      <c r="F15" s="99"/>
      <c r="G15" s="107"/>
      <c r="H15" s="106"/>
      <c r="J15" s="391" t="s">
        <v>212</v>
      </c>
      <c r="K15" s="193" t="s">
        <v>220</v>
      </c>
      <c r="L15" s="391"/>
      <c r="M15" s="100"/>
      <c r="N15" s="24"/>
      <c r="O15" s="107"/>
      <c r="P15" s="109" t="s">
        <v>82</v>
      </c>
      <c r="Q15" s="92" t="s">
        <v>63</v>
      </c>
      <c r="R15" s="391"/>
      <c r="S15" s="402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428"/>
      <c r="F16" s="125"/>
      <c r="G16" s="127"/>
      <c r="H16" s="128"/>
      <c r="I16" s="26"/>
      <c r="J16" s="391"/>
      <c r="K16" s="193"/>
      <c r="L16" s="129"/>
      <c r="N16" s="129"/>
      <c r="O16" s="52"/>
      <c r="P16" s="396" t="s">
        <v>273</v>
      </c>
      <c r="Q16" s="131" t="s">
        <v>262</v>
      </c>
      <c r="R16" s="391"/>
      <c r="S16" s="400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427"/>
      <c r="D17" s="433" t="s">
        <v>249</v>
      </c>
      <c r="E17" s="432" t="s">
        <v>85</v>
      </c>
      <c r="F17" s="433" t="s">
        <v>249</v>
      </c>
      <c r="G17" s="434" t="s">
        <v>208</v>
      </c>
      <c r="H17" s="125"/>
      <c r="I17" s="140"/>
      <c r="J17" s="46"/>
      <c r="K17" s="423"/>
      <c r="L17" s="125" t="s">
        <v>266</v>
      </c>
      <c r="M17" s="140" t="s">
        <v>87</v>
      </c>
      <c r="N17" s="141" t="s">
        <v>54</v>
      </c>
      <c r="O17" s="142">
        <v>0.4</v>
      </c>
      <c r="P17" s="678" t="s">
        <v>195</v>
      </c>
      <c r="Q17" s="679"/>
      <c r="R17" s="680"/>
      <c r="S17" s="681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B51</f>
        <v>1.7154696132596685</v>
      </c>
      <c r="C18" s="150"/>
      <c r="D18" s="148">
        <f>D51</f>
        <v>1.1436464088397789</v>
      </c>
      <c r="E18" s="149"/>
      <c r="F18" s="148">
        <f>F51</f>
        <v>1.4295580110497235</v>
      </c>
      <c r="G18" s="150"/>
      <c r="H18" s="148">
        <f>H51</f>
        <v>1.7154696132596685</v>
      </c>
      <c r="I18" s="150"/>
      <c r="J18" s="148">
        <f>J51</f>
        <v>1.7154696132596685</v>
      </c>
      <c r="K18" s="149"/>
      <c r="L18" s="151">
        <f>L51</f>
        <v>1.8870165745856351</v>
      </c>
      <c r="M18" s="149"/>
      <c r="N18" s="152">
        <f>N51</f>
        <v>0.74337016574585635</v>
      </c>
      <c r="O18" s="149">
        <f>N18+O17</f>
        <v>1.1433701657458564</v>
      </c>
      <c r="P18" s="682"/>
      <c r="Q18" s="683"/>
      <c r="R18" s="683"/>
      <c r="S18" s="684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>
      <c r="A19" s="51"/>
      <c r="B19" s="56" t="s">
        <v>7</v>
      </c>
      <c r="C19" s="107" t="s">
        <v>284</v>
      </c>
      <c r="D19" s="56"/>
      <c r="E19" s="107"/>
      <c r="F19" s="431"/>
      <c r="G19" s="158"/>
      <c r="H19" s="56" t="s">
        <v>253</v>
      </c>
      <c r="I19" s="107" t="s">
        <v>285</v>
      </c>
      <c r="J19" s="159" t="s">
        <v>251</v>
      </c>
      <c r="K19" s="160" t="s">
        <v>286</v>
      </c>
      <c r="L19" s="56"/>
      <c r="M19" s="107"/>
      <c r="N19" s="56"/>
      <c r="O19" s="107"/>
      <c r="P19" s="685" t="s">
        <v>90</v>
      </c>
      <c r="Q19" s="686"/>
      <c r="R19" s="686"/>
      <c r="S19" s="687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>
      <c r="A20" s="51"/>
      <c r="B20" s="20"/>
      <c r="C20" s="107"/>
      <c r="D20" s="56"/>
      <c r="E20" s="107"/>
      <c r="F20" s="72"/>
      <c r="G20" s="160"/>
      <c r="H20" s="159"/>
      <c r="I20" s="107"/>
      <c r="J20" s="56" t="s">
        <v>259</v>
      </c>
      <c r="K20" s="107" t="s">
        <v>287</v>
      </c>
      <c r="L20" s="56"/>
      <c r="M20" s="107"/>
      <c r="N20" s="24"/>
      <c r="O20" s="107"/>
      <c r="P20" s="163"/>
      <c r="Q20" s="164"/>
      <c r="R20" s="164"/>
      <c r="S20" s="165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388.5" customHeight="1">
      <c r="A21" s="51"/>
      <c r="B21" s="56"/>
      <c r="C21" s="182"/>
      <c r="D21" s="56"/>
      <c r="E21" s="107"/>
      <c r="F21" s="72"/>
      <c r="G21" s="167"/>
      <c r="H21" s="24"/>
      <c r="I21" s="107"/>
      <c r="J21" s="56" t="s">
        <v>7</v>
      </c>
      <c r="K21" s="107" t="s">
        <v>288</v>
      </c>
      <c r="L21" s="24"/>
      <c r="M21" s="107"/>
      <c r="N21" s="24"/>
      <c r="O21" s="20"/>
      <c r="P21" s="168"/>
      <c r="Q21" s="691" t="s">
        <v>93</v>
      </c>
      <c r="R21" s="691"/>
      <c r="S21" s="692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59">
      <c r="A22" s="19"/>
      <c r="D22" s="46"/>
      <c r="F22" s="170"/>
      <c r="G22" s="171"/>
      <c r="H22" s="24"/>
      <c r="I22" s="172"/>
      <c r="J22" s="173"/>
      <c r="K22" s="172"/>
      <c r="L22" s="174"/>
      <c r="M22" s="175"/>
      <c r="N22" s="176"/>
      <c r="O22" s="177"/>
      <c r="P22" s="693"/>
      <c r="Q22" s="694"/>
      <c r="R22" s="694"/>
      <c r="S22" s="695"/>
      <c r="T22" s="110"/>
      <c r="U22" s="178"/>
      <c r="V22" s="179"/>
      <c r="W22" s="180"/>
      <c r="Y22" s="181" t="s">
        <v>94</v>
      </c>
      <c r="Z22" s="156" t="s">
        <v>95</v>
      </c>
      <c r="AA22" s="136"/>
      <c r="AD22" s="8"/>
      <c r="AE22" s="8"/>
    </row>
    <row r="23" spans="1:60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K23" s="185"/>
      <c r="L23" s="186"/>
      <c r="M23" s="187"/>
      <c r="N23" s="159"/>
      <c r="O23" s="177"/>
      <c r="P23" s="696"/>
      <c r="Q23" s="697"/>
      <c r="R23" s="697"/>
      <c r="S23" s="698"/>
      <c r="T23" s="110"/>
      <c r="U23" s="178"/>
      <c r="V23" s="179"/>
      <c r="W23" s="180"/>
      <c r="Y23" s="181"/>
      <c r="Z23" s="156"/>
      <c r="AA23" s="136"/>
      <c r="AD23" s="8"/>
      <c r="AE23" s="8"/>
    </row>
    <row r="24" spans="1:60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173"/>
      <c r="M24" s="172"/>
      <c r="N24" s="159"/>
      <c r="O24" s="177"/>
      <c r="P24" s="188"/>
      <c r="Q24" s="189"/>
      <c r="R24" s="190"/>
      <c r="S24" s="189"/>
      <c r="T24" s="110"/>
      <c r="U24" s="178"/>
      <c r="V24" s="179"/>
      <c r="W24" s="180"/>
      <c r="Y24" s="191" t="s">
        <v>96</v>
      </c>
      <c r="Z24" s="192"/>
      <c r="AA24" s="136"/>
      <c r="AD24" s="8"/>
      <c r="AE24" s="8"/>
    </row>
    <row r="25" spans="1:60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59"/>
      <c r="O25" s="193"/>
      <c r="P25" s="49"/>
      <c r="Q25" s="49"/>
      <c r="R25" s="194"/>
      <c r="S25" s="50"/>
      <c r="T25" s="110"/>
      <c r="U25" s="178"/>
      <c r="V25" s="179"/>
      <c r="W25" s="180"/>
      <c r="Y25" s="191"/>
      <c r="Z25" s="192"/>
      <c r="AA25" s="136"/>
      <c r="AD25" s="8"/>
      <c r="AE25" s="8"/>
    </row>
    <row r="26" spans="1:60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56"/>
      <c r="O26" s="197"/>
      <c r="Q26" s="49"/>
      <c r="R26" s="189" t="s">
        <v>264</v>
      </c>
      <c r="S26" s="49"/>
      <c r="T26" s="198"/>
      <c r="U26" s="199"/>
      <c r="V26" s="200"/>
      <c r="W26" s="201"/>
      <c r="Y26" s="202" t="s">
        <v>97</v>
      </c>
      <c r="Z26" s="192"/>
      <c r="AA26" s="136"/>
      <c r="AD26" s="8"/>
      <c r="AE26" s="8"/>
    </row>
    <row r="27" spans="1:60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97"/>
      <c r="P27" s="205"/>
      <c r="Q27" s="206"/>
      <c r="R27" s="205"/>
      <c r="S27" s="205"/>
      <c r="T27" s="198"/>
      <c r="U27" s="199"/>
      <c r="V27" s="200"/>
      <c r="W27" s="201"/>
      <c r="Y27" s="207"/>
      <c r="Z27" s="192"/>
      <c r="AA27" s="136"/>
      <c r="AB27" s="8"/>
      <c r="AD27" s="8"/>
      <c r="AE27" s="8"/>
    </row>
    <row r="28" spans="1:60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56"/>
      <c r="O28" s="197"/>
      <c r="P28" s="93"/>
      <c r="Q28" s="93"/>
      <c r="R28" s="93"/>
      <c r="S28" s="93"/>
      <c r="T28" s="210"/>
      <c r="U28" s="199"/>
      <c r="V28" s="200"/>
      <c r="W28" s="201"/>
      <c r="Y28" s="46"/>
      <c r="Z28" s="192"/>
      <c r="AA28" s="136"/>
      <c r="AD28" s="8"/>
      <c r="AE28" s="8"/>
    </row>
    <row r="29" spans="1:60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56"/>
      <c r="O29" s="212"/>
      <c r="P29" s="194"/>
      <c r="Q29" s="189"/>
      <c r="R29" s="49"/>
      <c r="S29" s="49"/>
      <c r="T29" s="213"/>
      <c r="U29" s="199"/>
      <c r="V29" s="214"/>
      <c r="W29" s="201"/>
      <c r="Y29" s="215"/>
      <c r="Z29" s="192"/>
      <c r="AA29" s="136"/>
      <c r="AD29" s="8"/>
      <c r="AE29" s="8"/>
    </row>
    <row r="30" spans="1:60" s="192" customFormat="1" ht="83.25" customHeight="1" thickBot="1">
      <c r="A30" s="216"/>
      <c r="B30" s="217">
        <f>B44</f>
        <v>9.8618784530386705</v>
      </c>
      <c r="C30" s="218"/>
      <c r="D30" s="219">
        <f>D44</f>
        <v>-7.4254143646408863</v>
      </c>
      <c r="E30" s="220"/>
      <c r="F30" s="221">
        <f>F44</f>
        <v>-3.281767955801115</v>
      </c>
      <c r="G30" s="221"/>
      <c r="H30" s="217">
        <f>H44</f>
        <v>19.861878453038671</v>
      </c>
      <c r="I30" s="218"/>
      <c r="J30" s="217">
        <f>J44</f>
        <v>14.861878453038671</v>
      </c>
      <c r="K30" s="222"/>
      <c r="L30" s="217">
        <f>L44</f>
        <v>-16.65193370165747</v>
      </c>
      <c r="M30" s="222"/>
      <c r="N30" s="152">
        <f>N44</f>
        <v>-17.226519337016576</v>
      </c>
      <c r="O30" s="218"/>
      <c r="P30" s="223"/>
      <c r="Q30" s="224"/>
      <c r="R30" s="224"/>
      <c r="S30" s="224"/>
      <c r="T30" s="225"/>
      <c r="U30" s="226"/>
      <c r="V30" s="227"/>
      <c r="W30" s="228"/>
      <c r="Y30" s="192" t="s">
        <v>98</v>
      </c>
    </row>
    <row r="31" spans="1:60" ht="273" customHeight="1" thickTop="1">
      <c r="A31" s="19"/>
      <c r="B31" s="24"/>
      <c r="C31" s="229"/>
      <c r="D31" s="419" t="s">
        <v>34</v>
      </c>
      <c r="E31" s="229" t="s">
        <v>99</v>
      </c>
      <c r="F31" s="419"/>
      <c r="G31" s="229"/>
      <c r="H31" s="24"/>
      <c r="I31" s="229"/>
      <c r="J31" s="24"/>
      <c r="K31" s="229"/>
      <c r="L31" s="22" t="s">
        <v>38</v>
      </c>
      <c r="M31" s="229" t="s">
        <v>99</v>
      </c>
      <c r="N31" s="22"/>
      <c r="O31" s="435"/>
      <c r="P31" s="231" t="s">
        <v>53</v>
      </c>
      <c r="Q31" s="232" t="s">
        <v>102</v>
      </c>
      <c r="R31" s="233"/>
      <c r="S31" s="234"/>
      <c r="T31" s="110"/>
      <c r="U31" s="28"/>
      <c r="V31" s="235"/>
      <c r="W31" s="236"/>
    </row>
    <row r="32" spans="1:60" ht="222" customHeight="1">
      <c r="A32" s="96"/>
      <c r="B32" s="24"/>
      <c r="C32" s="107"/>
      <c r="D32" s="24"/>
      <c r="E32" s="229"/>
      <c r="F32" s="24"/>
      <c r="G32" s="229"/>
      <c r="H32" s="24"/>
      <c r="I32" s="230"/>
      <c r="J32" s="24"/>
      <c r="K32" s="229"/>
      <c r="L32" s="24" t="s">
        <v>15</v>
      </c>
      <c r="M32" s="107" t="s">
        <v>289</v>
      </c>
      <c r="N32" s="24"/>
      <c r="O32" s="229"/>
      <c r="P32" s="237" t="s">
        <v>103</v>
      </c>
      <c r="Q32" s="238"/>
      <c r="R32" s="239"/>
      <c r="S32" s="234"/>
      <c r="T32" s="68"/>
      <c r="U32" s="28"/>
      <c r="V32" s="201"/>
      <c r="W32" s="201"/>
      <c r="Y32" s="240" t="s">
        <v>104</v>
      </c>
      <c r="Z32" s="240"/>
      <c r="AA32" s="240" t="s">
        <v>105</v>
      </c>
      <c r="AB32" s="240" t="s">
        <v>106</v>
      </c>
      <c r="AC32" s="8" t="s">
        <v>107</v>
      </c>
      <c r="AD32" s="192"/>
      <c r="AE32" s="192"/>
      <c r="AF32" s="192"/>
      <c r="AG32" s="192"/>
      <c r="AH32" s="192"/>
    </row>
    <row r="33" spans="1:31" ht="168.75" customHeight="1">
      <c r="A33" s="19"/>
      <c r="B33" s="241"/>
      <c r="C33" s="107"/>
      <c r="D33" s="242"/>
      <c r="E33" s="243"/>
      <c r="F33" s="244"/>
      <c r="G33" s="241"/>
      <c r="H33" s="24"/>
      <c r="I33" s="230"/>
      <c r="J33" s="72"/>
      <c r="K33" s="20"/>
      <c r="L33" s="24"/>
      <c r="M33" s="229"/>
      <c r="N33" s="24"/>
      <c r="O33" s="107"/>
      <c r="P33" s="245" t="s">
        <v>108</v>
      </c>
      <c r="Q33" s="246" t="s">
        <v>197</v>
      </c>
      <c r="R33" s="232" t="s">
        <v>109</v>
      </c>
      <c r="S33" s="247" t="s">
        <v>110</v>
      </c>
      <c r="T33" s="68"/>
      <c r="U33" s="123"/>
      <c r="V33" s="201"/>
      <c r="W33" s="201"/>
      <c r="Y33" s="9" t="s">
        <v>111</v>
      </c>
      <c r="Z33" s="9"/>
      <c r="AA33" s="9" t="s">
        <v>105</v>
      </c>
      <c r="AB33" s="9" t="s">
        <v>112</v>
      </c>
      <c r="AC33" s="9" t="s">
        <v>113</v>
      </c>
      <c r="AD33" s="8"/>
      <c r="AE33" s="8"/>
    </row>
    <row r="34" spans="1:31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56"/>
      <c r="O34" s="57"/>
      <c r="P34" s="252" t="s">
        <v>114</v>
      </c>
      <c r="Q34" s="253" t="s">
        <v>115</v>
      </c>
      <c r="R34" s="233" t="s">
        <v>116</v>
      </c>
      <c r="S34" s="49"/>
      <c r="T34" s="68"/>
      <c r="U34" s="123"/>
      <c r="V34" s="201"/>
      <c r="W34" s="201" t="s">
        <v>117</v>
      </c>
      <c r="Y34" s="9" t="s">
        <v>2</v>
      </c>
      <c r="Z34" s="9"/>
      <c r="AA34" s="9" t="s">
        <v>105</v>
      </c>
      <c r="AB34" s="9" t="s">
        <v>118</v>
      </c>
      <c r="AC34" s="9" t="s">
        <v>113</v>
      </c>
      <c r="AD34" s="8"/>
      <c r="AE34" s="8"/>
    </row>
    <row r="35" spans="1:31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56"/>
      <c r="O35" s="57"/>
      <c r="P35" s="259"/>
      <c r="Q35" s="260"/>
      <c r="R35" s="260"/>
      <c r="S35" s="261"/>
      <c r="T35" s="68"/>
      <c r="U35" s="123"/>
      <c r="V35" s="200"/>
      <c r="W35" s="201"/>
      <c r="Y35" s="9" t="s">
        <v>119</v>
      </c>
      <c r="Z35" s="9"/>
      <c r="AA35" s="9" t="s">
        <v>120</v>
      </c>
      <c r="AB35" s="9" t="s">
        <v>121</v>
      </c>
      <c r="AC35" s="9" t="s">
        <v>122</v>
      </c>
      <c r="AD35" s="8" t="s">
        <v>107</v>
      </c>
      <c r="AE35" s="8"/>
    </row>
    <row r="36" spans="1:31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6"/>
      <c r="O36" s="267"/>
      <c r="P36" s="268"/>
      <c r="Q36" s="269"/>
      <c r="R36" s="269"/>
      <c r="S36" s="270"/>
      <c r="T36" s="271"/>
      <c r="U36" s="272"/>
      <c r="V36" s="228"/>
      <c r="W36" s="228"/>
      <c r="Y36" s="9" t="s">
        <v>123</v>
      </c>
      <c r="Z36" s="9"/>
      <c r="AA36" s="9" t="s">
        <v>120</v>
      </c>
      <c r="AB36" s="9" t="s">
        <v>124</v>
      </c>
      <c r="AC36" s="9" t="s">
        <v>113</v>
      </c>
      <c r="AD36" s="8"/>
      <c r="AE36" s="8"/>
    </row>
    <row r="37" spans="1:31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77"/>
      <c r="M37" s="200"/>
      <c r="N37" s="279"/>
      <c r="O37" s="200"/>
      <c r="P37" s="280"/>
      <c r="Q37" s="281"/>
      <c r="R37" s="281"/>
      <c r="S37" s="282"/>
      <c r="T37" s="274" t="s">
        <v>128</v>
      </c>
      <c r="U37" s="283"/>
      <c r="V37" s="214"/>
      <c r="W37" s="201"/>
      <c r="Y37" s="9" t="s">
        <v>18</v>
      </c>
      <c r="Z37" s="9"/>
      <c r="AA37" s="9" t="s">
        <v>129</v>
      </c>
      <c r="AC37" s="9" t="s">
        <v>130</v>
      </c>
      <c r="AD37" s="8" t="s">
        <v>131</v>
      </c>
      <c r="AE37" s="8"/>
    </row>
    <row r="38" spans="1:31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82"/>
      <c r="R38" s="282"/>
      <c r="S38" s="282"/>
      <c r="T38" s="274" t="s">
        <v>132</v>
      </c>
      <c r="U38" s="200"/>
      <c r="V38" s="214"/>
      <c r="W38" s="201"/>
      <c r="Y38" s="9"/>
      <c r="Z38" s="9"/>
      <c r="AA38" s="9" t="s">
        <v>133</v>
      </c>
      <c r="AB38" s="9" t="s">
        <v>134</v>
      </c>
      <c r="AC38" s="9" t="s">
        <v>130</v>
      </c>
      <c r="AD38" s="8"/>
      <c r="AE38" s="8"/>
    </row>
    <row r="39" spans="1:31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46"/>
      <c r="R39" s="288"/>
      <c r="S39" s="288"/>
      <c r="T39" s="289"/>
      <c r="U39" s="290"/>
      <c r="V39" s="291"/>
      <c r="W39" s="292"/>
      <c r="Y39" s="9"/>
      <c r="Z39" s="9"/>
      <c r="AD39" s="8"/>
      <c r="AE39" s="8"/>
    </row>
    <row r="40" spans="1:31" ht="31.5" customHeight="1" thickTop="1">
      <c r="A40" s="293" t="s">
        <v>135</v>
      </c>
      <c r="B40" s="294">
        <f>B45+D45+F45+H45+J45+N45+L45</f>
        <v>512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9"/>
      <c r="O40" s="300"/>
      <c r="P40" s="291"/>
      <c r="Q40" s="288"/>
      <c r="R40" s="301"/>
      <c r="S40" s="301"/>
      <c r="T40" s="669"/>
      <c r="U40" s="670"/>
      <c r="V40" s="670"/>
      <c r="W40" s="671"/>
      <c r="X40" s="302"/>
      <c r="Y40" s="303"/>
    </row>
    <row r="41" spans="1:31" ht="73" thickBot="1">
      <c r="A41" s="304" t="s">
        <v>136</v>
      </c>
      <c r="B41" s="305">
        <f>SUM(B43:R43)</f>
        <v>18.100000000000001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9"/>
      <c r="O41" s="300"/>
      <c r="P41" s="282"/>
      <c r="Q41" s="115"/>
      <c r="R41" s="301"/>
      <c r="S41" s="301"/>
      <c r="T41" s="672"/>
      <c r="U41" s="673"/>
      <c r="V41" s="673"/>
      <c r="W41" s="674"/>
      <c r="X41" s="302"/>
      <c r="Y41" s="303"/>
    </row>
    <row r="42" spans="1:31" ht="72">
      <c r="A42" s="304" t="s">
        <v>137</v>
      </c>
      <c r="B42" s="294">
        <f>B40/B41</f>
        <v>28.287292817679557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6"/>
      <c r="S42" s="306"/>
      <c r="T42" s="307"/>
      <c r="U42" s="308"/>
      <c r="V42" s="308"/>
      <c r="W42" s="309"/>
      <c r="X42" s="306"/>
      <c r="Y42" s="303"/>
    </row>
    <row r="43" spans="1:31" ht="72">
      <c r="A43" s="310" t="s">
        <v>138</v>
      </c>
      <c r="B43" s="305">
        <f>C9</f>
        <v>3</v>
      </c>
      <c r="C43" s="295"/>
      <c r="D43" s="296">
        <f>E9</f>
        <v>2</v>
      </c>
      <c r="E43" s="297"/>
      <c r="F43" s="296">
        <f>G9</f>
        <v>2.5</v>
      </c>
      <c r="G43" s="297"/>
      <c r="H43" s="278">
        <f>I9</f>
        <v>3</v>
      </c>
      <c r="I43" s="299"/>
      <c r="J43" s="278">
        <f>K9</f>
        <v>3</v>
      </c>
      <c r="K43" s="299"/>
      <c r="L43" s="278">
        <f>M9</f>
        <v>3.3</v>
      </c>
      <c r="M43" s="299"/>
      <c r="N43" s="311">
        <f>O9</f>
        <v>1.3</v>
      </c>
      <c r="O43" s="300"/>
      <c r="P43" s="312"/>
      <c r="Q43" s="313"/>
      <c r="R43" s="313"/>
      <c r="S43" s="313"/>
      <c r="T43" s="314"/>
      <c r="U43" s="315"/>
      <c r="V43" s="315"/>
      <c r="W43" s="316"/>
      <c r="X43" s="317"/>
      <c r="Y43" s="303"/>
    </row>
    <row r="44" spans="1:31" ht="72">
      <c r="A44" s="304" t="s">
        <v>139</v>
      </c>
      <c r="B44" s="294">
        <f>B40/B41*B43-B45</f>
        <v>9.8618784530386705</v>
      </c>
      <c r="C44" s="295"/>
      <c r="D44" s="318">
        <f>B40/B41*D43-D45</f>
        <v>-7.4254143646408863</v>
      </c>
      <c r="E44" s="319"/>
      <c r="F44" s="318">
        <f>B40/B41*F43-F45</f>
        <v>-3.281767955801115</v>
      </c>
      <c r="G44" s="320"/>
      <c r="H44" s="321">
        <f>B40/B41*H43-H45</f>
        <v>19.861878453038671</v>
      </c>
      <c r="I44" s="322"/>
      <c r="J44" s="321">
        <f>B40/B41*J43-J45</f>
        <v>14.861878453038671</v>
      </c>
      <c r="K44" s="322"/>
      <c r="L44" s="321">
        <f>B40/B41*L43-L45</f>
        <v>-16.65193370165747</v>
      </c>
      <c r="M44" s="322"/>
      <c r="N44" s="311">
        <f>B40/B41*N43-N45</f>
        <v>-17.226519337016576</v>
      </c>
      <c r="O44" s="323"/>
      <c r="P44" s="324"/>
      <c r="Q44" s="324"/>
      <c r="R44" s="324"/>
      <c r="S44" s="325"/>
      <c r="T44" s="326"/>
      <c r="U44" s="327"/>
      <c r="V44" s="328"/>
      <c r="W44" s="329"/>
      <c r="X44" s="330"/>
      <c r="Y44" s="303"/>
    </row>
    <row r="45" spans="1:31" ht="73" thickBot="1">
      <c r="A45" s="310" t="s">
        <v>140</v>
      </c>
      <c r="B45" s="294">
        <v>75</v>
      </c>
      <c r="C45" s="295"/>
      <c r="D45" s="331">
        <v>64</v>
      </c>
      <c r="E45" s="130" t="s">
        <v>275</v>
      </c>
      <c r="F45" s="318">
        <v>74</v>
      </c>
      <c r="G45" s="320"/>
      <c r="H45" s="332">
        <v>65</v>
      </c>
      <c r="J45" s="321">
        <v>70</v>
      </c>
      <c r="K45" s="322"/>
      <c r="L45" s="333">
        <v>110</v>
      </c>
      <c r="M45" s="322"/>
      <c r="N45" s="334">
        <v>54</v>
      </c>
      <c r="O45" s="335"/>
      <c r="P45" s="336"/>
      <c r="Q45" s="325"/>
      <c r="R45" s="336"/>
      <c r="S45" s="325"/>
      <c r="T45" s="337"/>
      <c r="U45" s="338"/>
      <c r="V45" s="339"/>
      <c r="W45" s="340"/>
      <c r="X45" s="330"/>
      <c r="Y45" s="303"/>
    </row>
    <row r="46" spans="1:31" ht="120.75" customHeight="1" thickBot="1">
      <c r="A46" s="341" t="s">
        <v>142</v>
      </c>
      <c r="B46" s="342" t="s">
        <v>143</v>
      </c>
      <c r="C46" s="343">
        <v>73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147</v>
      </c>
      <c r="K46" s="348" t="s">
        <v>148</v>
      </c>
      <c r="L46" s="349" t="s">
        <v>149</v>
      </c>
      <c r="M46" s="348" t="s">
        <v>150</v>
      </c>
      <c r="N46" s="350" t="s">
        <v>151</v>
      </c>
      <c r="O46" s="351">
        <v>54</v>
      </c>
      <c r="P46" s="325"/>
      <c r="Q46" s="303"/>
      <c r="R46" s="325"/>
      <c r="S46" s="303"/>
      <c r="T46" s="352"/>
      <c r="U46" s="353"/>
      <c r="V46" s="328"/>
      <c r="W46" s="328"/>
      <c r="X46" s="330"/>
      <c r="Y46" s="303"/>
      <c r="AA46" s="9" t="s">
        <v>152</v>
      </c>
    </row>
    <row r="47" spans="1:31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6"/>
      <c r="O47" s="354"/>
      <c r="P47" s="354"/>
      <c r="Q47" s="354"/>
      <c r="R47" s="354"/>
      <c r="S47" s="354"/>
      <c r="T47" s="354"/>
      <c r="U47" s="354"/>
      <c r="V47" s="354"/>
      <c r="W47" s="354"/>
      <c r="X47" s="303"/>
      <c r="Y47" s="303"/>
    </row>
    <row r="48" spans="1:31" ht="72">
      <c r="A48" s="357" t="s">
        <v>153</v>
      </c>
      <c r="B48" s="354">
        <f>14-J69+I69+K69</f>
        <v>10.35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8"/>
      <c r="W48" s="358"/>
    </row>
    <row r="49" spans="1:25" ht="72">
      <c r="A49" s="357" t="s">
        <v>154</v>
      </c>
      <c r="B49" s="359">
        <f>B40/B48</f>
        <v>49.468599033816425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155</v>
      </c>
      <c r="B50" s="354">
        <f>B42*B43</f>
        <v>84.861878453038671</v>
      </c>
      <c r="C50" s="354"/>
      <c r="D50" s="354">
        <f>B42*D43</f>
        <v>56.574585635359114</v>
      </c>
      <c r="E50" s="354"/>
      <c r="F50" s="354">
        <f>B42*F43</f>
        <v>70.718232044198885</v>
      </c>
      <c r="G50" s="354"/>
      <c r="H50" s="359">
        <f>B42*H43</f>
        <v>84.861878453038671</v>
      </c>
      <c r="I50" s="354"/>
      <c r="J50" s="354">
        <f>B42*J43</f>
        <v>84.861878453038671</v>
      </c>
      <c r="K50" s="354"/>
      <c r="L50" s="359">
        <f>B42*L43</f>
        <v>93.34806629834253</v>
      </c>
      <c r="M50" s="354"/>
      <c r="N50" s="354">
        <f>B42*N43</f>
        <v>36.773480662983424</v>
      </c>
      <c r="O50" s="354"/>
      <c r="P50" s="354"/>
      <c r="Q50" s="354"/>
      <c r="R50" s="354"/>
      <c r="S50" s="354"/>
      <c r="T50" s="354"/>
      <c r="U50" s="354"/>
      <c r="V50" s="354"/>
      <c r="W50" s="354"/>
      <c r="X50" s="303"/>
      <c r="Y50" s="303"/>
    </row>
    <row r="51" spans="1:25" ht="72">
      <c r="A51" s="357" t="s">
        <v>156</v>
      </c>
      <c r="B51" s="354">
        <f>B50/B49</f>
        <v>1.7154696132596685</v>
      </c>
      <c r="C51" s="354"/>
      <c r="D51" s="354">
        <f>D50/B49</f>
        <v>1.1436464088397789</v>
      </c>
      <c r="E51" s="354"/>
      <c r="F51" s="354">
        <f>F50/B49</f>
        <v>1.4295580110497235</v>
      </c>
      <c r="G51" s="354"/>
      <c r="H51" s="354">
        <f>H50/B49</f>
        <v>1.7154696132596685</v>
      </c>
      <c r="I51" s="354"/>
      <c r="J51" s="354">
        <f>J50/B49</f>
        <v>1.7154696132596685</v>
      </c>
      <c r="K51" s="354"/>
      <c r="L51" s="359">
        <f>L50/B49</f>
        <v>1.8870165745856351</v>
      </c>
      <c r="M51" s="354"/>
      <c r="N51" s="354">
        <f>N50/B49</f>
        <v>0.74337016574585635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4"/>
      <c r="X54" s="303"/>
      <c r="Y54" s="303"/>
    </row>
    <row r="55" spans="1:25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53"/>
      <c r="Q58" s="353"/>
      <c r="R58" s="353"/>
      <c r="S58" s="353"/>
      <c r="T58" s="353"/>
      <c r="U58" s="353"/>
      <c r="V58" s="353"/>
      <c r="W58" s="355"/>
      <c r="X58" s="364"/>
      <c r="Y58" s="364"/>
    </row>
    <row r="59" spans="1:25">
      <c r="A59" s="364"/>
      <c r="B59" s="367" t="s">
        <v>162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53"/>
      <c r="W59" s="355"/>
      <c r="X59" s="364"/>
      <c r="Y59" s="364"/>
    </row>
    <row r="60" spans="1:25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8"/>
      <c r="R60" s="368"/>
      <c r="S60" s="368"/>
      <c r="T60" s="368"/>
      <c r="U60" s="368"/>
      <c r="V60" s="369"/>
      <c r="W60" s="364"/>
      <c r="X60" s="364"/>
      <c r="Y60" s="364"/>
    </row>
    <row r="61" spans="1:25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7" t="s">
        <v>165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</row>
    <row r="67" spans="1:25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</row>
    <row r="68" spans="1:25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6"/>
      <c r="C69" s="376">
        <v>0.75</v>
      </c>
      <c r="D69" s="376" t="s">
        <v>178</v>
      </c>
      <c r="E69" s="376">
        <v>0.25</v>
      </c>
      <c r="F69" s="376">
        <f>O17</f>
        <v>0.4</v>
      </c>
      <c r="G69" s="380">
        <v>2.25</v>
      </c>
      <c r="H69" s="376">
        <v>0</v>
      </c>
      <c r="I69" s="377">
        <v>0</v>
      </c>
      <c r="J69" s="376">
        <f>SUM(C69:H69)</f>
        <v>3.65</v>
      </c>
      <c r="K69" s="378">
        <v>0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2" spans="1:25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5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5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</row>
    <row r="77" spans="1:25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4:18">
      <c r="N98" s="385"/>
      <c r="O98" s="385"/>
      <c r="P98" s="385"/>
      <c r="Q98" s="385"/>
      <c r="R98" s="385"/>
    </row>
    <row r="99" spans="14:18">
      <c r="N99" s="386"/>
      <c r="O99" s="386"/>
      <c r="P99" s="386"/>
      <c r="Q99" s="386"/>
      <c r="R99" s="386"/>
    </row>
    <row r="100" spans="14:18">
      <c r="N100" s="386"/>
      <c r="O100" s="386"/>
      <c r="P100" s="386"/>
      <c r="Q100" s="386"/>
      <c r="R100" s="386"/>
    </row>
    <row r="101" spans="14:18" ht="36" thickBot="1">
      <c r="N101" s="387"/>
      <c r="O101" s="387"/>
      <c r="P101" s="387"/>
      <c r="Q101" s="388"/>
      <c r="R101" s="389"/>
    </row>
  </sheetData>
  <mergeCells count="6">
    <mergeCell ref="T40:W41"/>
    <mergeCell ref="P3:S3"/>
    <mergeCell ref="P17:S18"/>
    <mergeCell ref="P19:S19"/>
    <mergeCell ref="Q21:S21"/>
    <mergeCell ref="P22:S23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101"/>
  <sheetViews>
    <sheetView zoomScale="20" zoomScaleNormal="20" workbookViewId="0">
      <selection activeCell="L4" sqref="L4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45896</v>
      </c>
      <c r="E1" s="3" t="str">
        <f>TEXT(D1, "dddd")</f>
        <v>星期三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4" t="s">
        <v>12</v>
      </c>
      <c r="E3" s="23"/>
      <c r="F3" s="24" t="s">
        <v>198</v>
      </c>
      <c r="G3" s="26"/>
      <c r="H3" s="22" t="s">
        <v>47</v>
      </c>
      <c r="I3" s="26"/>
      <c r="J3" s="24" t="s">
        <v>100</v>
      </c>
      <c r="K3" s="26"/>
      <c r="L3" s="24" t="s">
        <v>267</v>
      </c>
      <c r="M3" s="20">
        <v>0.75</v>
      </c>
      <c r="N3" s="24" t="s">
        <v>28</v>
      </c>
      <c r="O3" s="26"/>
      <c r="P3" s="675" t="s">
        <v>17</v>
      </c>
      <c r="Q3" s="676"/>
      <c r="R3" s="676"/>
      <c r="S3" s="677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22</v>
      </c>
      <c r="C4" s="21"/>
      <c r="D4" s="24" t="s">
        <v>23</v>
      </c>
      <c r="E4" s="26"/>
      <c r="F4" s="24" t="s">
        <v>265</v>
      </c>
      <c r="G4" s="21"/>
      <c r="H4" s="24" t="s">
        <v>25</v>
      </c>
      <c r="I4" s="26"/>
      <c r="J4" s="24" t="s">
        <v>26</v>
      </c>
      <c r="K4" s="32"/>
      <c r="L4" s="24" t="s">
        <v>243</v>
      </c>
      <c r="M4" s="26"/>
      <c r="N4" s="24" t="s">
        <v>16</v>
      </c>
      <c r="O4" s="21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33</v>
      </c>
      <c r="C5" s="21"/>
      <c r="D5" s="24"/>
      <c r="E5" s="26"/>
      <c r="F5" s="24"/>
      <c r="G5" s="26"/>
      <c r="H5" s="24" t="s">
        <v>37</v>
      </c>
      <c r="I5" s="25"/>
      <c r="J5" s="24" t="s">
        <v>14</v>
      </c>
      <c r="K5" s="26"/>
      <c r="L5" s="24" t="s">
        <v>27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6"/>
      <c r="H6" s="46"/>
      <c r="J6" s="24"/>
      <c r="K6" s="26"/>
      <c r="L6" s="24" t="s">
        <v>277</v>
      </c>
      <c r="M6" s="26" t="s">
        <v>290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21"/>
      <c r="L7" s="24" t="s">
        <v>13</v>
      </c>
      <c r="M7" s="20">
        <v>0.75</v>
      </c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3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3" t="s">
        <v>276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3</v>
      </c>
      <c r="D9" s="61"/>
      <c r="E9" s="60">
        <v>2</v>
      </c>
      <c r="F9" s="32"/>
      <c r="G9" s="62">
        <v>2</v>
      </c>
      <c r="H9" s="63">
        <v>3</v>
      </c>
      <c r="I9" s="62">
        <f>H9-I11</f>
        <v>3</v>
      </c>
      <c r="J9" s="61"/>
      <c r="K9" s="60">
        <v>3</v>
      </c>
      <c r="L9" s="64">
        <v>3.75</v>
      </c>
      <c r="M9" s="62">
        <f>L9-M11</f>
        <v>3.75</v>
      </c>
      <c r="N9" s="56">
        <v>2</v>
      </c>
      <c r="O9" s="65">
        <f>N9-O11</f>
        <v>1.3</v>
      </c>
      <c r="P9" s="404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436"/>
      <c r="Q10" s="67"/>
      <c r="R10" s="67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1"/>
      <c r="C11" s="412"/>
      <c r="D11" s="83"/>
      <c r="E11" s="84"/>
      <c r="F11" s="85"/>
      <c r="G11" s="414"/>
      <c r="H11" s="87" t="s">
        <v>53</v>
      </c>
      <c r="I11" s="418">
        <v>0</v>
      </c>
      <c r="J11" s="85"/>
      <c r="K11" s="417"/>
      <c r="L11" s="415" t="s">
        <v>53</v>
      </c>
      <c r="M11" s="418">
        <v>0</v>
      </c>
      <c r="N11" s="85" t="s">
        <v>54</v>
      </c>
      <c r="O11" s="412">
        <v>0.7</v>
      </c>
      <c r="P11" s="92" t="s">
        <v>280</v>
      </c>
      <c r="Q11" s="92" t="s">
        <v>281</v>
      </c>
      <c r="R11" s="391" t="s">
        <v>189</v>
      </c>
      <c r="S11" s="400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 thickBot="1">
      <c r="A12" s="410" t="s">
        <v>58</v>
      </c>
      <c r="B12" s="398" t="s">
        <v>199</v>
      </c>
      <c r="C12" s="107" t="s">
        <v>191</v>
      </c>
      <c r="D12" s="97" t="s">
        <v>60</v>
      </c>
      <c r="E12" s="100" t="s">
        <v>59</v>
      </c>
      <c r="F12" s="408" t="s">
        <v>61</v>
      </c>
      <c r="G12" s="107" t="s">
        <v>59</v>
      </c>
      <c r="H12" s="97" t="s">
        <v>62</v>
      </c>
      <c r="I12" s="98" t="s">
        <v>59</v>
      </c>
      <c r="J12" s="97" t="s">
        <v>63</v>
      </c>
      <c r="K12" s="193" t="s">
        <v>213</v>
      </c>
      <c r="L12" s="99" t="s">
        <v>64</v>
      </c>
      <c r="M12" s="193" t="s">
        <v>213</v>
      </c>
      <c r="N12" s="405" t="s">
        <v>262</v>
      </c>
      <c r="O12" s="193" t="s">
        <v>213</v>
      </c>
      <c r="P12" s="92" t="s">
        <v>190</v>
      </c>
      <c r="Q12" s="92" t="s">
        <v>249</v>
      </c>
      <c r="R12" s="396" t="s">
        <v>200</v>
      </c>
      <c r="S12" s="4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5" t="s">
        <v>200</v>
      </c>
      <c r="C13" s="182" t="s">
        <v>213</v>
      </c>
      <c r="D13" s="395"/>
      <c r="E13" s="107"/>
      <c r="F13" s="391" t="s">
        <v>218</v>
      </c>
      <c r="G13" s="177" t="s">
        <v>72</v>
      </c>
      <c r="H13" s="391" t="s">
        <v>189</v>
      </c>
      <c r="I13" s="107" t="s">
        <v>191</v>
      </c>
      <c r="J13" s="391" t="s">
        <v>73</v>
      </c>
      <c r="K13" s="100" t="s">
        <v>248</v>
      </c>
      <c r="L13" s="391" t="s">
        <v>212</v>
      </c>
      <c r="M13" s="193" t="s">
        <v>213</v>
      </c>
      <c r="N13" s="391" t="s">
        <v>73</v>
      </c>
      <c r="O13" s="177" t="s">
        <v>72</v>
      </c>
      <c r="P13" s="92" t="s">
        <v>75</v>
      </c>
      <c r="Q13" s="391" t="s">
        <v>73</v>
      </c>
      <c r="R13" s="391"/>
      <c r="S13" s="4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5"/>
      <c r="C14" s="107"/>
      <c r="D14" s="391"/>
      <c r="E14" s="107"/>
      <c r="F14" s="391"/>
      <c r="G14" s="107"/>
      <c r="H14" s="391"/>
      <c r="I14" s="107"/>
      <c r="J14" s="391" t="s">
        <v>189</v>
      </c>
      <c r="K14" s="193" t="s">
        <v>74</v>
      </c>
      <c r="L14" s="391"/>
      <c r="M14" s="100"/>
      <c r="N14" s="421"/>
      <c r="O14" s="107"/>
      <c r="P14" s="109" t="s">
        <v>206</v>
      </c>
      <c r="Q14" s="92" t="s">
        <v>212</v>
      </c>
      <c r="R14" s="391"/>
      <c r="S14" s="402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391"/>
      <c r="C15" s="439"/>
      <c r="D15" s="395"/>
      <c r="E15" s="107"/>
      <c r="F15" s="99"/>
      <c r="G15" s="107"/>
      <c r="H15" s="106"/>
      <c r="J15" s="395"/>
      <c r="K15" s="193"/>
      <c r="L15" s="391"/>
      <c r="M15" s="100"/>
      <c r="N15" s="24"/>
      <c r="O15" s="107"/>
      <c r="P15" s="109" t="s">
        <v>82</v>
      </c>
      <c r="Q15" s="92" t="s">
        <v>63</v>
      </c>
      <c r="R15" s="391"/>
      <c r="S15" s="402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428"/>
      <c r="F16" s="125"/>
      <c r="G16" s="127"/>
      <c r="H16" s="128"/>
      <c r="I16" s="26"/>
      <c r="J16" s="391"/>
      <c r="K16" s="193"/>
      <c r="L16" s="129"/>
      <c r="N16" s="129"/>
      <c r="O16" s="52"/>
      <c r="P16" s="396" t="s">
        <v>273</v>
      </c>
      <c r="Q16" s="131" t="s">
        <v>262</v>
      </c>
      <c r="R16" s="391"/>
      <c r="S16" s="400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427"/>
      <c r="D17" s="433" t="s">
        <v>249</v>
      </c>
      <c r="E17" s="432" t="s">
        <v>85</v>
      </c>
      <c r="F17" s="433" t="s">
        <v>249</v>
      </c>
      <c r="G17" s="434" t="s">
        <v>208</v>
      </c>
      <c r="H17" s="125" t="s">
        <v>266</v>
      </c>
      <c r="I17" s="140" t="s">
        <v>87</v>
      </c>
      <c r="J17" s="46"/>
      <c r="K17" s="423"/>
      <c r="L17" s="125"/>
      <c r="M17" s="140"/>
      <c r="N17" s="141" t="s">
        <v>54</v>
      </c>
      <c r="O17" s="142">
        <v>0.4</v>
      </c>
      <c r="P17" s="678" t="s">
        <v>195</v>
      </c>
      <c r="Q17" s="679"/>
      <c r="R17" s="680"/>
      <c r="S17" s="681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B51</f>
        <v>1.7202216066481995</v>
      </c>
      <c r="C18" s="150"/>
      <c r="D18" s="148">
        <f>D51</f>
        <v>1.1468144044321329</v>
      </c>
      <c r="E18" s="149"/>
      <c r="F18" s="148">
        <f>F51</f>
        <v>1.1468144044321329</v>
      </c>
      <c r="G18" s="150"/>
      <c r="H18" s="148">
        <f>H51</f>
        <v>1.7202216066481995</v>
      </c>
      <c r="I18" s="150"/>
      <c r="J18" s="148">
        <f>J51</f>
        <v>1.7202216066481995</v>
      </c>
      <c r="K18" s="149"/>
      <c r="L18" s="151">
        <f>L51</f>
        <v>2.1502770083102494</v>
      </c>
      <c r="M18" s="149"/>
      <c r="N18" s="152">
        <f>N51</f>
        <v>0.74542936288088646</v>
      </c>
      <c r="O18" s="149">
        <f>N18+O17</f>
        <v>1.1454293628808865</v>
      </c>
      <c r="P18" s="682"/>
      <c r="Q18" s="683"/>
      <c r="R18" s="683"/>
      <c r="S18" s="684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431"/>
      <c r="G19" s="158"/>
      <c r="H19" s="56"/>
      <c r="I19" s="107"/>
      <c r="J19" s="159"/>
      <c r="K19" s="160"/>
      <c r="L19" s="56"/>
      <c r="M19" s="107"/>
      <c r="N19" s="56"/>
      <c r="O19" s="107"/>
      <c r="P19" s="685" t="s">
        <v>90</v>
      </c>
      <c r="Q19" s="686"/>
      <c r="R19" s="686"/>
      <c r="S19" s="687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20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163"/>
      <c r="Q20" s="164"/>
      <c r="R20" s="164"/>
      <c r="S20" s="165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388.5" customHeight="1" thickBot="1">
      <c r="A21" s="51"/>
      <c r="B21" s="56"/>
      <c r="C21" s="182"/>
      <c r="D21" s="56"/>
      <c r="E21" s="107"/>
      <c r="F21" s="72"/>
      <c r="G21" s="167"/>
      <c r="H21" s="24"/>
      <c r="I21" s="107"/>
      <c r="J21" s="56"/>
      <c r="K21" s="107"/>
      <c r="L21" s="24"/>
      <c r="M21" s="107"/>
      <c r="N21" s="24"/>
      <c r="O21" s="20"/>
      <c r="P21" s="168"/>
      <c r="Q21" s="691" t="s">
        <v>93</v>
      </c>
      <c r="R21" s="691"/>
      <c r="S21" s="692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59">
      <c r="A22" s="19"/>
      <c r="D22" s="46"/>
      <c r="F22" s="170"/>
      <c r="G22" s="171"/>
      <c r="H22" s="24"/>
      <c r="I22" s="172"/>
      <c r="J22" s="173"/>
      <c r="K22" s="172"/>
      <c r="L22" s="174"/>
      <c r="M22" s="175"/>
      <c r="N22" s="176"/>
      <c r="O22" s="177"/>
      <c r="P22" s="693"/>
      <c r="Q22" s="694"/>
      <c r="R22" s="694"/>
      <c r="S22" s="695"/>
      <c r="T22" s="110"/>
      <c r="U22" s="178"/>
      <c r="V22" s="179"/>
      <c r="W22" s="180"/>
      <c r="Y22" s="181" t="s">
        <v>94</v>
      </c>
      <c r="Z22" s="156" t="s">
        <v>95</v>
      </c>
      <c r="AA22" s="136"/>
      <c r="AD22" s="8"/>
      <c r="AE22" s="8"/>
    </row>
    <row r="23" spans="1:60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K23" s="185"/>
      <c r="L23" s="186"/>
      <c r="M23" s="187"/>
      <c r="N23" s="159"/>
      <c r="O23" s="177"/>
      <c r="P23" s="696"/>
      <c r="Q23" s="697"/>
      <c r="R23" s="697"/>
      <c r="S23" s="698"/>
      <c r="T23" s="110"/>
      <c r="U23" s="178"/>
      <c r="V23" s="179"/>
      <c r="W23" s="180"/>
      <c r="Y23" s="181"/>
      <c r="Z23" s="156"/>
      <c r="AA23" s="136"/>
      <c r="AD23" s="8"/>
      <c r="AE23" s="8"/>
    </row>
    <row r="24" spans="1:60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173"/>
      <c r="M24" s="172"/>
      <c r="N24" s="159"/>
      <c r="O24" s="177"/>
      <c r="P24" s="188"/>
      <c r="Q24" s="189"/>
      <c r="R24" s="190"/>
      <c r="S24" s="189"/>
      <c r="T24" s="110"/>
      <c r="U24" s="178"/>
      <c r="V24" s="179"/>
      <c r="W24" s="180"/>
      <c r="Y24" s="191" t="s">
        <v>96</v>
      </c>
      <c r="Z24" s="192"/>
      <c r="AA24" s="136"/>
      <c r="AD24" s="8"/>
      <c r="AE24" s="8"/>
    </row>
    <row r="25" spans="1:60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59"/>
      <c r="O25" s="193"/>
      <c r="P25" s="49"/>
      <c r="Q25" s="49"/>
      <c r="R25" s="194"/>
      <c r="S25" s="50"/>
      <c r="T25" s="110"/>
      <c r="U25" s="178"/>
      <c r="V25" s="179"/>
      <c r="W25" s="180"/>
      <c r="Y25" s="191"/>
      <c r="Z25" s="192"/>
      <c r="AA25" s="136"/>
      <c r="AD25" s="8"/>
      <c r="AE25" s="8"/>
    </row>
    <row r="26" spans="1:60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56"/>
      <c r="O26" s="197"/>
      <c r="Q26" s="49"/>
      <c r="R26" s="189" t="s">
        <v>264</v>
      </c>
      <c r="S26" s="49"/>
      <c r="T26" s="198"/>
      <c r="U26" s="199"/>
      <c r="V26" s="200"/>
      <c r="W26" s="201"/>
      <c r="Y26" s="202" t="s">
        <v>97</v>
      </c>
      <c r="Z26" s="192"/>
      <c r="AA26" s="136"/>
      <c r="AD26" s="8"/>
      <c r="AE26" s="8"/>
    </row>
    <row r="27" spans="1:60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97"/>
      <c r="P27" s="205"/>
      <c r="Q27" s="206"/>
      <c r="R27" s="205"/>
      <c r="S27" s="205"/>
      <c r="T27" s="198"/>
      <c r="U27" s="199"/>
      <c r="V27" s="200"/>
      <c r="W27" s="201"/>
      <c r="Y27" s="207"/>
      <c r="Z27" s="192"/>
      <c r="AA27" s="136"/>
      <c r="AB27" s="8"/>
      <c r="AD27" s="8"/>
      <c r="AE27" s="8"/>
    </row>
    <row r="28" spans="1:60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56"/>
      <c r="O28" s="197"/>
      <c r="P28" s="93"/>
      <c r="Q28" s="93"/>
      <c r="R28" s="93"/>
      <c r="S28" s="93"/>
      <c r="T28" s="210"/>
      <c r="U28" s="199"/>
      <c r="V28" s="200"/>
      <c r="W28" s="201"/>
      <c r="Y28" s="46"/>
      <c r="Z28" s="192"/>
      <c r="AA28" s="136"/>
      <c r="AD28" s="8"/>
      <c r="AE28" s="8"/>
    </row>
    <row r="29" spans="1:60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56"/>
      <c r="O29" s="212"/>
      <c r="P29" s="194"/>
      <c r="Q29" s="189"/>
      <c r="R29" s="49"/>
      <c r="S29" s="49"/>
      <c r="T29" s="213"/>
      <c r="U29" s="199"/>
      <c r="V29" s="214"/>
      <c r="W29" s="201"/>
      <c r="Y29" s="215"/>
      <c r="Z29" s="192"/>
      <c r="AA29" s="136"/>
      <c r="AD29" s="8"/>
      <c r="AE29" s="8"/>
    </row>
    <row r="30" spans="1:60" s="192" customFormat="1" ht="83.25" customHeight="1" thickBot="1">
      <c r="A30" s="216"/>
      <c r="B30" s="217">
        <f>B44</f>
        <v>10.096952908587255</v>
      </c>
      <c r="C30" s="218"/>
      <c r="D30" s="219">
        <f>D44</f>
        <v>-7.2686980609418299</v>
      </c>
      <c r="E30" s="220"/>
      <c r="F30" s="221">
        <f>F44</f>
        <v>-17.26869806094183</v>
      </c>
      <c r="G30" s="221"/>
      <c r="H30" s="217">
        <f>H44</f>
        <v>20.096952908587255</v>
      </c>
      <c r="I30" s="218"/>
      <c r="J30" s="217">
        <f>J44</f>
        <v>15.096952908587255</v>
      </c>
      <c r="K30" s="222"/>
      <c r="L30" s="217">
        <f>L44</f>
        <v>-3.6288088642659346</v>
      </c>
      <c r="M30" s="222"/>
      <c r="N30" s="152">
        <f>N44</f>
        <v>-17.124653739612185</v>
      </c>
      <c r="O30" s="218"/>
      <c r="P30" s="223"/>
      <c r="Q30" s="224"/>
      <c r="R30" s="224"/>
      <c r="S30" s="224"/>
      <c r="T30" s="225"/>
      <c r="U30" s="226"/>
      <c r="V30" s="227"/>
      <c r="W30" s="228"/>
      <c r="Y30" s="192" t="s">
        <v>98</v>
      </c>
    </row>
    <row r="31" spans="1:60" ht="273" customHeight="1" thickTop="1">
      <c r="A31" s="19"/>
      <c r="B31" s="24"/>
      <c r="C31" s="229"/>
      <c r="D31" s="419" t="s">
        <v>34</v>
      </c>
      <c r="E31" s="229" t="s">
        <v>99</v>
      </c>
      <c r="F31" s="419"/>
      <c r="G31" s="229"/>
      <c r="H31" s="24"/>
      <c r="I31" s="229"/>
      <c r="J31" s="24"/>
      <c r="K31" s="229"/>
      <c r="L31" s="22" t="s">
        <v>38</v>
      </c>
      <c r="M31" s="229" t="s">
        <v>99</v>
      </c>
      <c r="N31" s="22"/>
      <c r="O31" s="435"/>
      <c r="P31" s="231" t="s">
        <v>53</v>
      </c>
      <c r="Q31" s="232" t="s">
        <v>102</v>
      </c>
      <c r="R31" s="233"/>
      <c r="S31" s="234"/>
      <c r="T31" s="110"/>
      <c r="U31" s="28"/>
      <c r="V31" s="235"/>
      <c r="W31" s="236"/>
    </row>
    <row r="32" spans="1:60" ht="222" customHeight="1">
      <c r="A32" s="96"/>
      <c r="B32" s="24"/>
      <c r="C32" s="107"/>
      <c r="D32" s="24"/>
      <c r="E32" s="229"/>
      <c r="F32" s="24"/>
      <c r="G32" s="229"/>
      <c r="H32" s="24"/>
      <c r="I32" s="230"/>
      <c r="J32" s="24"/>
      <c r="K32" s="229"/>
      <c r="L32" s="24" t="s">
        <v>15</v>
      </c>
      <c r="M32" s="107" t="s">
        <v>289</v>
      </c>
      <c r="N32" s="24"/>
      <c r="O32" s="229"/>
      <c r="P32" s="237" t="s">
        <v>103</v>
      </c>
      <c r="Q32" s="238"/>
      <c r="R32" s="239"/>
      <c r="S32" s="234"/>
      <c r="T32" s="68"/>
      <c r="U32" s="28"/>
      <c r="V32" s="201"/>
      <c r="W32" s="201"/>
      <c r="Y32" s="240" t="s">
        <v>104</v>
      </c>
      <c r="Z32" s="240"/>
      <c r="AA32" s="240" t="s">
        <v>105</v>
      </c>
      <c r="AB32" s="240" t="s">
        <v>106</v>
      </c>
      <c r="AC32" s="8" t="s">
        <v>107</v>
      </c>
      <c r="AD32" s="192"/>
      <c r="AE32" s="192"/>
      <c r="AF32" s="192"/>
      <c r="AG32" s="192"/>
      <c r="AH32" s="192"/>
    </row>
    <row r="33" spans="1:31" ht="168.75" customHeight="1">
      <c r="A33" s="19"/>
      <c r="B33" s="241"/>
      <c r="C33" s="107"/>
      <c r="D33" s="242"/>
      <c r="E33" s="243"/>
      <c r="F33" s="244"/>
      <c r="G33" s="241"/>
      <c r="H33" s="24"/>
      <c r="I33" s="230"/>
      <c r="J33" s="72"/>
      <c r="K33" s="20"/>
      <c r="L33" s="24"/>
      <c r="M33" s="229"/>
      <c r="N33" s="24"/>
      <c r="O33" s="107"/>
      <c r="P33" s="245" t="s">
        <v>108</v>
      </c>
      <c r="Q33" s="246" t="s">
        <v>197</v>
      </c>
      <c r="R33" s="232" t="s">
        <v>109</v>
      </c>
      <c r="S33" s="247" t="s">
        <v>110</v>
      </c>
      <c r="T33" s="68"/>
      <c r="U33" s="123"/>
      <c r="V33" s="201"/>
      <c r="W33" s="201"/>
      <c r="Y33" s="9" t="s">
        <v>111</v>
      </c>
      <c r="Z33" s="9"/>
      <c r="AA33" s="9" t="s">
        <v>105</v>
      </c>
      <c r="AB33" s="9" t="s">
        <v>112</v>
      </c>
      <c r="AC33" s="9" t="s">
        <v>113</v>
      </c>
      <c r="AD33" s="8"/>
      <c r="AE33" s="8"/>
    </row>
    <row r="34" spans="1:31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56"/>
      <c r="O34" s="57"/>
      <c r="P34" s="252" t="s">
        <v>114</v>
      </c>
      <c r="Q34" s="253" t="s">
        <v>115</v>
      </c>
      <c r="R34" s="233" t="s">
        <v>116</v>
      </c>
      <c r="S34" s="49"/>
      <c r="T34" s="68"/>
      <c r="U34" s="123"/>
      <c r="V34" s="201"/>
      <c r="W34" s="201" t="s">
        <v>117</v>
      </c>
      <c r="Y34" s="9" t="s">
        <v>2</v>
      </c>
      <c r="Z34" s="9"/>
      <c r="AA34" s="9" t="s">
        <v>105</v>
      </c>
      <c r="AB34" s="9" t="s">
        <v>118</v>
      </c>
      <c r="AC34" s="9" t="s">
        <v>113</v>
      </c>
      <c r="AD34" s="8"/>
      <c r="AE34" s="8"/>
    </row>
    <row r="35" spans="1:31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56"/>
      <c r="O35" s="57"/>
      <c r="P35" s="259"/>
      <c r="Q35" s="260"/>
      <c r="R35" s="260"/>
      <c r="S35" s="261"/>
      <c r="T35" s="68"/>
      <c r="U35" s="123"/>
      <c r="V35" s="200"/>
      <c r="W35" s="201"/>
      <c r="Y35" s="9" t="s">
        <v>119</v>
      </c>
      <c r="Z35" s="9"/>
      <c r="AA35" s="9" t="s">
        <v>120</v>
      </c>
      <c r="AB35" s="9" t="s">
        <v>121</v>
      </c>
      <c r="AC35" s="9" t="s">
        <v>122</v>
      </c>
      <c r="AD35" s="8" t="s">
        <v>107</v>
      </c>
      <c r="AE35" s="8"/>
    </row>
    <row r="36" spans="1:31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6"/>
      <c r="O36" s="267"/>
      <c r="P36" s="268"/>
      <c r="Q36" s="269"/>
      <c r="R36" s="269"/>
      <c r="S36" s="270"/>
      <c r="T36" s="271"/>
      <c r="U36" s="272"/>
      <c r="V36" s="228"/>
      <c r="W36" s="228"/>
      <c r="Y36" s="9" t="s">
        <v>123</v>
      </c>
      <c r="Z36" s="9"/>
      <c r="AA36" s="9" t="s">
        <v>120</v>
      </c>
      <c r="AB36" s="9" t="s">
        <v>124</v>
      </c>
      <c r="AC36" s="9" t="s">
        <v>113</v>
      </c>
      <c r="AD36" s="8"/>
      <c r="AE36" s="8"/>
    </row>
    <row r="37" spans="1:31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77"/>
      <c r="M37" s="200"/>
      <c r="N37" s="279"/>
      <c r="O37" s="200"/>
      <c r="P37" s="280"/>
      <c r="Q37" s="281"/>
      <c r="R37" s="281"/>
      <c r="S37" s="282"/>
      <c r="T37" s="274" t="s">
        <v>128</v>
      </c>
      <c r="U37" s="283"/>
      <c r="V37" s="214"/>
      <c r="W37" s="201"/>
      <c r="Y37" s="9" t="s">
        <v>18</v>
      </c>
      <c r="Z37" s="9"/>
      <c r="AA37" s="9" t="s">
        <v>129</v>
      </c>
      <c r="AC37" s="9" t="s">
        <v>130</v>
      </c>
      <c r="AD37" s="8" t="s">
        <v>131</v>
      </c>
      <c r="AE37" s="8"/>
    </row>
    <row r="38" spans="1:31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82"/>
      <c r="R38" s="282"/>
      <c r="S38" s="282"/>
      <c r="T38" s="274" t="s">
        <v>132</v>
      </c>
      <c r="U38" s="200"/>
      <c r="V38" s="214"/>
      <c r="W38" s="201"/>
      <c r="Y38" s="9"/>
      <c r="Z38" s="9"/>
      <c r="AA38" s="9" t="s">
        <v>133</v>
      </c>
      <c r="AB38" s="9" t="s">
        <v>134</v>
      </c>
      <c r="AC38" s="9" t="s">
        <v>130</v>
      </c>
      <c r="AD38" s="8"/>
      <c r="AE38" s="8"/>
    </row>
    <row r="39" spans="1:31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46"/>
      <c r="R39" s="288"/>
      <c r="S39" s="288"/>
      <c r="T39" s="289"/>
      <c r="U39" s="290"/>
      <c r="V39" s="291"/>
      <c r="W39" s="292"/>
      <c r="Y39" s="9"/>
      <c r="Z39" s="9"/>
      <c r="AD39" s="8"/>
      <c r="AE39" s="8"/>
    </row>
    <row r="40" spans="1:31" ht="31.5" customHeight="1" thickTop="1">
      <c r="A40" s="293" t="s">
        <v>135</v>
      </c>
      <c r="B40" s="294">
        <f>B45+D45+F45+H45+J45+N45+L45</f>
        <v>512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9"/>
      <c r="O40" s="300"/>
      <c r="P40" s="291"/>
      <c r="Q40" s="288"/>
      <c r="R40" s="301"/>
      <c r="S40" s="301"/>
      <c r="T40" s="669"/>
      <c r="U40" s="670"/>
      <c r="V40" s="670"/>
      <c r="W40" s="671"/>
      <c r="X40" s="302"/>
      <c r="Y40" s="303"/>
    </row>
    <row r="41" spans="1:31" ht="73" thickBot="1">
      <c r="A41" s="304" t="s">
        <v>136</v>
      </c>
      <c r="B41" s="305">
        <f>SUM(B43:R43)</f>
        <v>18.05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9"/>
      <c r="O41" s="300"/>
      <c r="P41" s="282"/>
      <c r="Q41" s="115"/>
      <c r="R41" s="301"/>
      <c r="S41" s="301"/>
      <c r="T41" s="672"/>
      <c r="U41" s="673"/>
      <c r="V41" s="673"/>
      <c r="W41" s="674"/>
      <c r="X41" s="302"/>
      <c r="Y41" s="303"/>
    </row>
    <row r="42" spans="1:31" ht="72">
      <c r="A42" s="304" t="s">
        <v>137</v>
      </c>
      <c r="B42" s="294">
        <f>B40/B41</f>
        <v>28.365650969529085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6"/>
      <c r="S42" s="306"/>
      <c r="T42" s="307"/>
      <c r="U42" s="308"/>
      <c r="V42" s="308"/>
      <c r="W42" s="309"/>
      <c r="X42" s="306"/>
      <c r="Y42" s="303"/>
    </row>
    <row r="43" spans="1:31" ht="72">
      <c r="A43" s="310" t="s">
        <v>138</v>
      </c>
      <c r="B43" s="305">
        <f>C9</f>
        <v>3</v>
      </c>
      <c r="C43" s="295"/>
      <c r="D43" s="296">
        <f>E9</f>
        <v>2</v>
      </c>
      <c r="E43" s="297"/>
      <c r="F43" s="296">
        <f>G9</f>
        <v>2</v>
      </c>
      <c r="G43" s="297"/>
      <c r="H43" s="278">
        <f>I9</f>
        <v>3</v>
      </c>
      <c r="I43" s="299"/>
      <c r="J43" s="278">
        <f>K9</f>
        <v>3</v>
      </c>
      <c r="K43" s="299"/>
      <c r="L43" s="278">
        <f>M9</f>
        <v>3.75</v>
      </c>
      <c r="M43" s="299"/>
      <c r="N43" s="311">
        <f>O9</f>
        <v>1.3</v>
      </c>
      <c r="O43" s="300"/>
      <c r="P43" s="312"/>
      <c r="Q43" s="313"/>
      <c r="R43" s="313"/>
      <c r="S43" s="313"/>
      <c r="T43" s="314"/>
      <c r="U43" s="315"/>
      <c r="V43" s="315"/>
      <c r="W43" s="316"/>
      <c r="X43" s="317"/>
      <c r="Y43" s="303"/>
    </row>
    <row r="44" spans="1:31" ht="72">
      <c r="A44" s="304" t="s">
        <v>139</v>
      </c>
      <c r="B44" s="294">
        <f>B40/B41*B43-B45</f>
        <v>10.096952908587255</v>
      </c>
      <c r="C44" s="295"/>
      <c r="D44" s="318">
        <f>B40/B41*D43-D45</f>
        <v>-7.2686980609418299</v>
      </c>
      <c r="E44" s="319"/>
      <c r="F44" s="318">
        <f>B40/B41*F43-F45</f>
        <v>-17.26869806094183</v>
      </c>
      <c r="G44" s="320"/>
      <c r="H44" s="321">
        <f>B40/B41*H43-H45</f>
        <v>20.096952908587255</v>
      </c>
      <c r="I44" s="322"/>
      <c r="J44" s="321">
        <f>B40/B41*J43-J45</f>
        <v>15.096952908587255</v>
      </c>
      <c r="K44" s="322"/>
      <c r="L44" s="321">
        <f>B40/B41*L43-L45</f>
        <v>-3.6288088642659346</v>
      </c>
      <c r="M44" s="322"/>
      <c r="N44" s="311">
        <f>B40/B41*N43-N45</f>
        <v>-17.124653739612185</v>
      </c>
      <c r="O44" s="323"/>
      <c r="P44" s="324"/>
      <c r="Q44" s="324"/>
      <c r="R44" s="324"/>
      <c r="S44" s="325"/>
      <c r="T44" s="326"/>
      <c r="U44" s="327"/>
      <c r="V44" s="328"/>
      <c r="W44" s="329"/>
      <c r="X44" s="330"/>
      <c r="Y44" s="303"/>
    </row>
    <row r="45" spans="1:31" ht="73" thickBot="1">
      <c r="A45" s="310" t="s">
        <v>140</v>
      </c>
      <c r="B45" s="294">
        <v>75</v>
      </c>
      <c r="C45" s="295"/>
      <c r="D45" s="331">
        <v>64</v>
      </c>
      <c r="E45" s="130" t="s">
        <v>275</v>
      </c>
      <c r="F45" s="318">
        <v>74</v>
      </c>
      <c r="G45" s="320"/>
      <c r="H45" s="332">
        <v>65</v>
      </c>
      <c r="J45" s="321">
        <v>70</v>
      </c>
      <c r="K45" s="322"/>
      <c r="L45" s="333">
        <v>110</v>
      </c>
      <c r="M45" s="322"/>
      <c r="N45" s="334">
        <v>54</v>
      </c>
      <c r="O45" s="335"/>
      <c r="P45" s="336"/>
      <c r="Q45" s="325"/>
      <c r="R45" s="336"/>
      <c r="S45" s="325"/>
      <c r="T45" s="337"/>
      <c r="U45" s="338"/>
      <c r="V45" s="339"/>
      <c r="W45" s="340"/>
      <c r="X45" s="330"/>
      <c r="Y45" s="303"/>
    </row>
    <row r="46" spans="1:31" ht="120.75" customHeight="1" thickBot="1">
      <c r="A46" s="341" t="s">
        <v>142</v>
      </c>
      <c r="B46" s="342" t="s">
        <v>143</v>
      </c>
      <c r="C46" s="343">
        <v>73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147</v>
      </c>
      <c r="K46" s="348" t="s">
        <v>148</v>
      </c>
      <c r="L46" s="349" t="s">
        <v>149</v>
      </c>
      <c r="M46" s="348" t="s">
        <v>150</v>
      </c>
      <c r="N46" s="350" t="s">
        <v>151</v>
      </c>
      <c r="O46" s="351">
        <v>54</v>
      </c>
      <c r="P46" s="325"/>
      <c r="Q46" s="303"/>
      <c r="R46" s="325"/>
      <c r="S46" s="303"/>
      <c r="T46" s="352"/>
      <c r="U46" s="353"/>
      <c r="V46" s="328"/>
      <c r="W46" s="328"/>
      <c r="X46" s="330"/>
      <c r="Y46" s="303"/>
      <c r="AA46" s="9" t="s">
        <v>152</v>
      </c>
    </row>
    <row r="47" spans="1:31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6"/>
      <c r="O47" s="354"/>
      <c r="P47" s="354"/>
      <c r="Q47" s="354"/>
      <c r="R47" s="354"/>
      <c r="S47" s="354"/>
      <c r="T47" s="354"/>
      <c r="U47" s="354"/>
      <c r="V47" s="354"/>
      <c r="W47" s="354"/>
      <c r="X47" s="303"/>
      <c r="Y47" s="303"/>
    </row>
    <row r="48" spans="1:31" ht="72">
      <c r="A48" s="357" t="s">
        <v>153</v>
      </c>
      <c r="B48" s="354">
        <f>14-J69+I69+K69</f>
        <v>10.35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8"/>
      <c r="W48" s="358"/>
    </row>
    <row r="49" spans="1:25" ht="72">
      <c r="A49" s="357" t="s">
        <v>154</v>
      </c>
      <c r="B49" s="359">
        <f>B40/B48</f>
        <v>49.468599033816425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155</v>
      </c>
      <c r="B50" s="354">
        <f>B42*B43</f>
        <v>85.096952908587255</v>
      </c>
      <c r="C50" s="354"/>
      <c r="D50" s="354">
        <f>B42*D43</f>
        <v>56.73130193905817</v>
      </c>
      <c r="E50" s="354"/>
      <c r="F50" s="354">
        <f>B42*F43</f>
        <v>56.73130193905817</v>
      </c>
      <c r="G50" s="354"/>
      <c r="H50" s="359">
        <f>B42*H43</f>
        <v>85.096952908587255</v>
      </c>
      <c r="I50" s="354"/>
      <c r="J50" s="354">
        <f>B42*J43</f>
        <v>85.096952908587255</v>
      </c>
      <c r="K50" s="354"/>
      <c r="L50" s="359">
        <f>B42*L43</f>
        <v>106.37119113573407</v>
      </c>
      <c r="M50" s="354"/>
      <c r="N50" s="354">
        <f>B42*N43</f>
        <v>36.875346260387815</v>
      </c>
      <c r="O50" s="354"/>
      <c r="P50" s="354"/>
      <c r="Q50" s="354"/>
      <c r="R50" s="354"/>
      <c r="S50" s="354"/>
      <c r="T50" s="354"/>
      <c r="U50" s="354"/>
      <c r="V50" s="354"/>
      <c r="W50" s="354"/>
      <c r="X50" s="303"/>
      <c r="Y50" s="303"/>
    </row>
    <row r="51" spans="1:25" ht="72">
      <c r="A51" s="357" t="s">
        <v>156</v>
      </c>
      <c r="B51" s="354">
        <f>B50/B49</f>
        <v>1.7202216066481995</v>
      </c>
      <c r="C51" s="354"/>
      <c r="D51" s="354">
        <f>D50/B49</f>
        <v>1.1468144044321329</v>
      </c>
      <c r="E51" s="354"/>
      <c r="F51" s="354">
        <f>F50/B49</f>
        <v>1.1468144044321329</v>
      </c>
      <c r="G51" s="354"/>
      <c r="H51" s="354">
        <f>H50/B49</f>
        <v>1.7202216066481995</v>
      </c>
      <c r="I51" s="354"/>
      <c r="J51" s="354">
        <f>J50/B49</f>
        <v>1.7202216066481995</v>
      </c>
      <c r="K51" s="354"/>
      <c r="L51" s="359">
        <f>L50/B49</f>
        <v>2.1502770083102494</v>
      </c>
      <c r="M51" s="354"/>
      <c r="N51" s="354">
        <f>N50/B49</f>
        <v>0.74542936288088646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4"/>
      <c r="X54" s="303"/>
      <c r="Y54" s="303"/>
    </row>
    <row r="55" spans="1:25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53"/>
      <c r="Q58" s="353"/>
      <c r="R58" s="353"/>
      <c r="S58" s="353"/>
      <c r="T58" s="353"/>
      <c r="U58" s="353"/>
      <c r="V58" s="353"/>
      <c r="W58" s="355"/>
      <c r="X58" s="364"/>
      <c r="Y58" s="364"/>
    </row>
    <row r="59" spans="1:25">
      <c r="A59" s="364"/>
      <c r="B59" s="367" t="s">
        <v>162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53"/>
      <c r="W59" s="355"/>
      <c r="X59" s="364"/>
      <c r="Y59" s="364"/>
    </row>
    <row r="60" spans="1:25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8"/>
      <c r="R60" s="368"/>
      <c r="S60" s="368"/>
      <c r="T60" s="368"/>
      <c r="U60" s="368"/>
      <c r="V60" s="369"/>
      <c r="W60" s="364"/>
      <c r="X60" s="364"/>
      <c r="Y60" s="364"/>
    </row>
    <row r="61" spans="1:25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7" t="s">
        <v>165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</row>
    <row r="67" spans="1:25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</row>
    <row r="68" spans="1:25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6"/>
      <c r="C69" s="376">
        <v>0.75</v>
      </c>
      <c r="D69" s="376" t="s">
        <v>178</v>
      </c>
      <c r="E69" s="376">
        <v>0.25</v>
      </c>
      <c r="F69" s="376">
        <f>O17</f>
        <v>0.4</v>
      </c>
      <c r="G69" s="380">
        <v>2.25</v>
      </c>
      <c r="H69" s="376">
        <v>0</v>
      </c>
      <c r="I69" s="377">
        <v>0</v>
      </c>
      <c r="J69" s="376">
        <f>SUM(C69:H69)</f>
        <v>3.65</v>
      </c>
      <c r="K69" s="378">
        <v>0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2" spans="1:25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5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5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</row>
    <row r="77" spans="1:25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4:18">
      <c r="N98" s="385"/>
      <c r="O98" s="385"/>
      <c r="P98" s="385"/>
      <c r="Q98" s="385"/>
      <c r="R98" s="385"/>
    </row>
    <row r="99" spans="14:18">
      <c r="N99" s="386"/>
      <c r="O99" s="386"/>
      <c r="P99" s="386"/>
      <c r="Q99" s="386"/>
      <c r="R99" s="386"/>
    </row>
    <row r="100" spans="14:18">
      <c r="N100" s="386"/>
      <c r="O100" s="386"/>
      <c r="P100" s="386"/>
      <c r="Q100" s="386"/>
      <c r="R100" s="386"/>
    </row>
    <row r="101" spans="14:18" ht="36" thickBot="1">
      <c r="N101" s="387"/>
      <c r="O101" s="387"/>
      <c r="P101" s="387"/>
      <c r="Q101" s="388"/>
      <c r="R101" s="389"/>
    </row>
  </sheetData>
  <mergeCells count="6">
    <mergeCell ref="T40:W41"/>
    <mergeCell ref="P3:S3"/>
    <mergeCell ref="P17:S18"/>
    <mergeCell ref="P19:S19"/>
    <mergeCell ref="Q21:S21"/>
    <mergeCell ref="P22:S23"/>
  </mergeCells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102"/>
  <sheetViews>
    <sheetView topLeftCell="A16" zoomScale="25" zoomScaleNormal="25" workbookViewId="0">
      <selection activeCell="H23" sqref="H23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45875</v>
      </c>
      <c r="E1" s="3" t="str">
        <f>TEXT(D1, "dddd")</f>
        <v>星期三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12</v>
      </c>
      <c r="E3" s="23"/>
      <c r="F3" s="24" t="s">
        <v>198</v>
      </c>
      <c r="G3" s="20"/>
      <c r="H3" s="22" t="s">
        <v>47</v>
      </c>
      <c r="I3" s="26"/>
      <c r="J3" s="24" t="s">
        <v>14</v>
      </c>
      <c r="K3" s="26"/>
      <c r="L3" s="24" t="s">
        <v>216</v>
      </c>
      <c r="N3" s="22" t="s">
        <v>16</v>
      </c>
      <c r="O3" s="20"/>
      <c r="P3" s="675" t="s">
        <v>17</v>
      </c>
      <c r="Q3" s="676"/>
      <c r="R3" s="676"/>
      <c r="S3" s="677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23</v>
      </c>
      <c r="E4" s="26"/>
      <c r="F4" s="24" t="s">
        <v>24</v>
      </c>
      <c r="G4" s="21"/>
      <c r="H4" s="24" t="s">
        <v>25</v>
      </c>
      <c r="I4" s="26"/>
      <c r="J4" s="24" t="s">
        <v>26</v>
      </c>
      <c r="K4" s="32"/>
      <c r="L4" s="24" t="s">
        <v>101</v>
      </c>
      <c r="M4" s="26"/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 t="s">
        <v>34</v>
      </c>
      <c r="E5" s="26"/>
      <c r="F5" s="24"/>
      <c r="G5" s="25"/>
      <c r="H5" s="24" t="s">
        <v>37</v>
      </c>
      <c r="I5" s="25"/>
      <c r="J5" s="24"/>
      <c r="K5" s="26"/>
      <c r="L5" s="24" t="s">
        <v>38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 t="s">
        <v>27</v>
      </c>
      <c r="M6" s="26"/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126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3" t="s">
        <v>222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3</v>
      </c>
      <c r="D9" s="61"/>
      <c r="E9" s="60">
        <v>3</v>
      </c>
      <c r="F9" s="32"/>
      <c r="G9" s="62">
        <v>2</v>
      </c>
      <c r="H9" s="63">
        <v>3</v>
      </c>
      <c r="I9" s="62">
        <f>H9-I11</f>
        <v>3</v>
      </c>
      <c r="J9" s="61"/>
      <c r="K9" s="60">
        <v>2</v>
      </c>
      <c r="L9" s="64">
        <v>4</v>
      </c>
      <c r="M9" s="62">
        <f>L9-M11</f>
        <v>3.75</v>
      </c>
      <c r="N9" s="56">
        <v>2</v>
      </c>
      <c r="O9" s="65">
        <f>N9-O11</f>
        <v>1.3</v>
      </c>
      <c r="P9" s="404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1"/>
      <c r="C11" s="412"/>
      <c r="D11" s="83"/>
      <c r="E11" s="413"/>
      <c r="F11" s="85"/>
      <c r="G11" s="414"/>
      <c r="H11" s="415" t="s">
        <v>53</v>
      </c>
      <c r="I11" s="416">
        <v>0</v>
      </c>
      <c r="J11" s="85"/>
      <c r="K11" s="417"/>
      <c r="L11" s="415" t="s">
        <v>53</v>
      </c>
      <c r="M11" s="418">
        <v>0.25</v>
      </c>
      <c r="N11" s="85" t="s">
        <v>54</v>
      </c>
      <c r="O11" s="412">
        <v>0.7</v>
      </c>
      <c r="P11" s="92" t="s">
        <v>223</v>
      </c>
      <c r="Q11" s="92" t="s">
        <v>55</v>
      </c>
      <c r="R11" s="92" t="s">
        <v>217</v>
      </c>
      <c r="S11" s="93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410" t="s">
        <v>58</v>
      </c>
      <c r="B12" s="398" t="s">
        <v>199</v>
      </c>
      <c r="C12" s="107" t="s">
        <v>224</v>
      </c>
      <c r="D12" s="99" t="s">
        <v>60</v>
      </c>
      <c r="E12" s="193" t="s">
        <v>59</v>
      </c>
      <c r="F12" s="408" t="s">
        <v>61</v>
      </c>
      <c r="G12" s="193" t="s">
        <v>59</v>
      </c>
      <c r="H12" s="99" t="s">
        <v>62</v>
      </c>
      <c r="I12" s="107" t="s">
        <v>59</v>
      </c>
      <c r="J12" s="99" t="s">
        <v>63</v>
      </c>
      <c r="K12" s="193" t="s">
        <v>201</v>
      </c>
      <c r="L12" s="99" t="s">
        <v>64</v>
      </c>
      <c r="M12" s="193" t="s">
        <v>59</v>
      </c>
      <c r="N12" s="408" t="s">
        <v>65</v>
      </c>
      <c r="O12" s="193" t="s">
        <v>225</v>
      </c>
      <c r="P12" s="92" t="s">
        <v>60</v>
      </c>
      <c r="Q12" s="92" t="s">
        <v>218</v>
      </c>
      <c r="R12" s="396" t="s">
        <v>200</v>
      </c>
      <c r="S12" s="1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19"/>
      <c r="B13" s="391" t="s">
        <v>55</v>
      </c>
      <c r="C13" s="193" t="s">
        <v>70</v>
      </c>
      <c r="D13" s="395" t="s">
        <v>200</v>
      </c>
      <c r="E13" s="193" t="s">
        <v>203</v>
      </c>
      <c r="F13" s="391" t="s">
        <v>55</v>
      </c>
      <c r="G13" s="193" t="s">
        <v>72</v>
      </c>
      <c r="H13" s="391" t="s">
        <v>73</v>
      </c>
      <c r="I13" s="193" t="s">
        <v>191</v>
      </c>
      <c r="J13" s="391" t="s">
        <v>204</v>
      </c>
      <c r="K13" s="193" t="s">
        <v>74</v>
      </c>
      <c r="L13" s="391" t="s">
        <v>219</v>
      </c>
      <c r="M13" s="193" t="s">
        <v>59</v>
      </c>
      <c r="N13" s="391" t="s">
        <v>71</v>
      </c>
      <c r="O13" s="193" t="s">
        <v>194</v>
      </c>
      <c r="P13" s="92" t="s">
        <v>75</v>
      </c>
      <c r="Q13" s="92" t="s">
        <v>73</v>
      </c>
      <c r="R13" s="391"/>
      <c r="S13" s="1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19"/>
      <c r="B14" s="391" t="s">
        <v>204</v>
      </c>
      <c r="C14" s="20" t="s">
        <v>78</v>
      </c>
      <c r="D14" s="108"/>
      <c r="E14" s="20"/>
      <c r="F14" s="99"/>
      <c r="G14" s="197"/>
      <c r="H14" s="391"/>
      <c r="I14" s="20"/>
      <c r="J14" s="108"/>
      <c r="K14" s="193"/>
      <c r="L14" s="395" t="s">
        <v>200</v>
      </c>
      <c r="M14" s="193" t="s">
        <v>78</v>
      </c>
      <c r="N14" s="409"/>
      <c r="O14" s="107"/>
      <c r="P14" s="109" t="s">
        <v>206</v>
      </c>
      <c r="Q14" s="92" t="s">
        <v>219</v>
      </c>
      <c r="R14" s="391"/>
      <c r="S14" s="115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99"/>
      <c r="C15" s="107"/>
      <c r="D15" s="99"/>
      <c r="E15" s="107"/>
      <c r="F15" s="99"/>
      <c r="G15" s="107"/>
      <c r="H15" s="106"/>
      <c r="I15" s="107"/>
      <c r="J15" s="108"/>
      <c r="K15" s="107"/>
      <c r="L15" s="108"/>
      <c r="M15" s="20"/>
      <c r="N15" s="24"/>
      <c r="O15" s="107"/>
      <c r="P15" s="109" t="s">
        <v>82</v>
      </c>
      <c r="Q15" s="92" t="s">
        <v>226</v>
      </c>
      <c r="R15" s="391"/>
      <c r="S15" s="115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126"/>
      <c r="F16" s="125"/>
      <c r="G16" s="127"/>
      <c r="H16" s="128"/>
      <c r="I16" s="26"/>
      <c r="J16" s="125"/>
      <c r="K16" s="127"/>
      <c r="L16" s="129"/>
      <c r="N16" s="129"/>
      <c r="O16" s="52"/>
      <c r="P16" s="92" t="s">
        <v>227</v>
      </c>
      <c r="Q16" s="131" t="s">
        <v>71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138"/>
      <c r="D17" s="125" t="s">
        <v>66</v>
      </c>
      <c r="E17" s="139" t="s">
        <v>85</v>
      </c>
      <c r="F17" s="125" t="s">
        <v>66</v>
      </c>
      <c r="G17" s="127" t="s">
        <v>221</v>
      </c>
      <c r="H17" s="125"/>
      <c r="I17" s="140"/>
      <c r="J17" s="46"/>
      <c r="L17" s="125" t="s">
        <v>73</v>
      </c>
      <c r="M17" s="140" t="s">
        <v>74</v>
      </c>
      <c r="N17" s="141" t="s">
        <v>54</v>
      </c>
      <c r="O17" s="142">
        <v>0.4</v>
      </c>
      <c r="P17" s="678" t="s">
        <v>195</v>
      </c>
      <c r="Q17" s="679"/>
      <c r="R17" s="680"/>
      <c r="S17" s="681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1.8240997229916895</v>
      </c>
      <c r="C18" s="149"/>
      <c r="D18" s="150">
        <f>D52</f>
        <v>1.8240997229916895</v>
      </c>
      <c r="E18" s="149"/>
      <c r="F18" s="148">
        <f>F52</f>
        <v>1.2160664819944598</v>
      </c>
      <c r="G18" s="150"/>
      <c r="H18" s="148">
        <f>H52</f>
        <v>1.8240997229916895</v>
      </c>
      <c r="I18" s="150"/>
      <c r="J18" s="148">
        <f>J52</f>
        <v>1.2160664819944598</v>
      </c>
      <c r="K18" s="150"/>
      <c r="L18" s="151">
        <f>L52</f>
        <v>2.280124653739612</v>
      </c>
      <c r="M18" s="149"/>
      <c r="N18" s="152">
        <f>N52</f>
        <v>0.79044321329639888</v>
      </c>
      <c r="O18" s="149">
        <f>N18+O17</f>
        <v>1.1904432132963989</v>
      </c>
      <c r="P18" s="682"/>
      <c r="Q18" s="683"/>
      <c r="R18" s="683"/>
      <c r="S18" s="684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 t="s">
        <v>7</v>
      </c>
      <c r="C19" s="107" t="s">
        <v>291</v>
      </c>
      <c r="D19" s="56" t="s">
        <v>255</v>
      </c>
      <c r="E19" s="107" t="s">
        <v>292</v>
      </c>
      <c r="F19" s="56"/>
      <c r="G19" s="158"/>
      <c r="H19" s="56" t="s">
        <v>251</v>
      </c>
      <c r="I19" s="107" t="s">
        <v>293</v>
      </c>
      <c r="J19" s="159"/>
      <c r="K19" s="160"/>
      <c r="L19" s="56"/>
      <c r="M19" s="107"/>
      <c r="N19" s="56"/>
      <c r="O19" s="107"/>
      <c r="P19" s="685" t="s">
        <v>90</v>
      </c>
      <c r="Q19" s="686"/>
      <c r="R19" s="686"/>
      <c r="S19" s="687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56" t="s">
        <v>253</v>
      </c>
      <c r="C20" s="107" t="s">
        <v>294</v>
      </c>
      <c r="D20" s="56"/>
      <c r="E20" s="107"/>
      <c r="F20" s="72"/>
      <c r="G20" s="160"/>
      <c r="H20" s="159" t="s">
        <v>7</v>
      </c>
      <c r="I20" s="107" t="s">
        <v>295</v>
      </c>
      <c r="J20" s="56"/>
      <c r="K20" s="107"/>
      <c r="L20" s="56"/>
      <c r="M20" s="107"/>
      <c r="N20" s="24"/>
      <c r="O20" s="107"/>
      <c r="P20" s="688"/>
      <c r="Q20" s="689"/>
      <c r="R20" s="689"/>
      <c r="S20" s="690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4"/>
      <c r="C21" s="107"/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20"/>
      <c r="C22" s="107"/>
      <c r="D22" s="166"/>
      <c r="E22" s="107"/>
      <c r="F22" s="72"/>
      <c r="G22" s="167"/>
      <c r="H22" s="24"/>
      <c r="I22" s="20"/>
      <c r="J22" s="24"/>
      <c r="K22" s="20"/>
      <c r="L22" s="24"/>
      <c r="M22" s="107"/>
      <c r="N22" s="24"/>
      <c r="O22" s="20"/>
      <c r="P22" s="168"/>
      <c r="Q22" s="691" t="s">
        <v>93</v>
      </c>
      <c r="R22" s="691"/>
      <c r="S22" s="692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B23" s="72"/>
      <c r="C23" s="16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693"/>
      <c r="Q23" s="694"/>
      <c r="R23" s="694"/>
      <c r="S23" s="695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172.5" customHeight="1" thickBot="1">
      <c r="A24" s="96"/>
      <c r="B24" s="56"/>
      <c r="C24" s="182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696"/>
      <c r="Q24" s="697"/>
      <c r="R24" s="697"/>
      <c r="S24" s="698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Q27" s="49"/>
      <c r="R27" s="189" t="s">
        <v>228</v>
      </c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13.426592797783925</v>
      </c>
      <c r="C31" s="218"/>
      <c r="D31" s="219">
        <f>D45</f>
        <v>12.426592797783925</v>
      </c>
      <c r="E31" s="220"/>
      <c r="F31" s="221">
        <f>F45</f>
        <v>-16.382271468144047</v>
      </c>
      <c r="G31" s="221"/>
      <c r="H31" s="217">
        <f>H45</f>
        <v>21.426592797783925</v>
      </c>
      <c r="I31" s="218"/>
      <c r="J31" s="217">
        <f>J45</f>
        <v>-12.382271468144047</v>
      </c>
      <c r="K31" s="222"/>
      <c r="L31" s="217">
        <f>L45</f>
        <v>-1.9667590027700896</v>
      </c>
      <c r="M31" s="222"/>
      <c r="N31" s="152">
        <f>N45</f>
        <v>-16.548476454293628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390"/>
      <c r="E32" s="229"/>
      <c r="F32" s="390"/>
      <c r="G32" s="393"/>
      <c r="H32" s="406"/>
      <c r="I32" s="407"/>
      <c r="J32" s="24" t="s">
        <v>100</v>
      </c>
      <c r="K32" s="229" t="s">
        <v>99</v>
      </c>
      <c r="L32" s="22"/>
      <c r="M32" s="107"/>
      <c r="N32" s="24" t="s">
        <v>35</v>
      </c>
      <c r="O32" s="229" t="s">
        <v>99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/>
      <c r="O33" s="229"/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520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669"/>
      <c r="U41" s="670"/>
      <c r="V41" s="670"/>
      <c r="W41" s="671"/>
      <c r="X41" s="302"/>
      <c r="Y41" s="303"/>
    </row>
    <row r="42" spans="1:34" ht="73" thickBot="1">
      <c r="A42" s="304" t="s">
        <v>136</v>
      </c>
      <c r="B42" s="305">
        <f>SUM(B44:R44)</f>
        <v>18.05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672"/>
      <c r="U42" s="673"/>
      <c r="V42" s="673"/>
      <c r="W42" s="674"/>
      <c r="X42" s="302"/>
      <c r="Y42" s="303"/>
    </row>
    <row r="43" spans="1:34" ht="72">
      <c r="A43" s="304" t="s">
        <v>137</v>
      </c>
      <c r="B43" s="294">
        <f>B41/B42</f>
        <v>28.808864265927976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72">
      <c r="A44" s="310" t="s">
        <v>138</v>
      </c>
      <c r="B44" s="305">
        <f>C9</f>
        <v>3</v>
      </c>
      <c r="C44" s="295"/>
      <c r="D44" s="296">
        <f>E9</f>
        <v>3</v>
      </c>
      <c r="E44" s="297"/>
      <c r="F44" s="296">
        <f>G9</f>
        <v>2</v>
      </c>
      <c r="G44" s="297"/>
      <c r="H44" s="278">
        <f>I9</f>
        <v>3</v>
      </c>
      <c r="I44" s="299"/>
      <c r="J44" s="278">
        <f>K9</f>
        <v>2</v>
      </c>
      <c r="K44" s="299"/>
      <c r="L44" s="278">
        <f>M9</f>
        <v>3.75</v>
      </c>
      <c r="M44" s="299"/>
      <c r="N44" s="311">
        <f>O9</f>
        <v>1.3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13.426592797783925</v>
      </c>
      <c r="C45" s="295"/>
      <c r="D45" s="318">
        <f>B41/B42*D44-D46</f>
        <v>12.426592797783925</v>
      </c>
      <c r="E45" s="319"/>
      <c r="F45" s="318">
        <f>B41/B42*F44-F46</f>
        <v>-16.382271468144047</v>
      </c>
      <c r="G45" s="320"/>
      <c r="H45" s="321">
        <f>B41/B42*H44-H46</f>
        <v>21.426592797783925</v>
      </c>
      <c r="I45" s="322"/>
      <c r="J45" s="321">
        <f>B41/B42*J44-J46</f>
        <v>-12.382271468144047</v>
      </c>
      <c r="K45" s="322"/>
      <c r="L45" s="321">
        <f>B41/B42*L44-L46</f>
        <v>-1.9667590027700896</v>
      </c>
      <c r="M45" s="322"/>
      <c r="N45" s="311">
        <f>B41/B42*N44-N46</f>
        <v>-16.548476454293628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74</v>
      </c>
      <c r="F46" s="318">
        <v>74</v>
      </c>
      <c r="G46" s="320"/>
      <c r="H46" s="332">
        <v>65</v>
      </c>
      <c r="J46" s="321">
        <v>70</v>
      </c>
      <c r="K46" s="322"/>
      <c r="L46" s="333">
        <v>110</v>
      </c>
      <c r="M46" s="322"/>
      <c r="N46" s="334">
        <v>54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10.975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47.380410022779046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86.426592797783925</v>
      </c>
      <c r="C51" s="354"/>
      <c r="D51" s="354">
        <f>B43*D44</f>
        <v>86.426592797783925</v>
      </c>
      <c r="E51" s="354"/>
      <c r="F51" s="354">
        <f>B43*F44</f>
        <v>57.617728531855953</v>
      </c>
      <c r="G51" s="354"/>
      <c r="H51" s="359">
        <f>B43*H44</f>
        <v>86.426592797783925</v>
      </c>
      <c r="I51" s="354"/>
      <c r="J51" s="354">
        <f>B43*J44</f>
        <v>57.617728531855953</v>
      </c>
      <c r="K51" s="354"/>
      <c r="L51" s="359">
        <f>B43*L44</f>
        <v>108.03324099722991</v>
      </c>
      <c r="M51" s="354"/>
      <c r="N51" s="354">
        <f>B43*N44</f>
        <v>37.451523545706372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1.8240997229916895</v>
      </c>
      <c r="C52" s="354"/>
      <c r="D52" s="354">
        <f>D51/B50</f>
        <v>1.8240997229916895</v>
      </c>
      <c r="E52" s="354"/>
      <c r="F52" s="354">
        <f>F51/B50</f>
        <v>1.2160664819944598</v>
      </c>
      <c r="G52" s="354"/>
      <c r="H52" s="354">
        <f>H51/B50</f>
        <v>1.8240997229916895</v>
      </c>
      <c r="I52" s="354"/>
      <c r="J52" s="354">
        <f>J51/B50</f>
        <v>1.2160664819944598</v>
      </c>
      <c r="K52" s="354"/>
      <c r="L52" s="359">
        <f>L51/B50</f>
        <v>2.280124653739612</v>
      </c>
      <c r="M52" s="354"/>
      <c r="N52" s="354">
        <f>N51/B50</f>
        <v>0.79044321329639888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1</v>
      </c>
      <c r="D70" s="376" t="s">
        <v>178</v>
      </c>
      <c r="E70" s="376">
        <v>0.25</v>
      </c>
      <c r="F70" s="376">
        <f>O17</f>
        <v>0.4</v>
      </c>
      <c r="G70" s="380">
        <v>1.375</v>
      </c>
      <c r="H70" s="376">
        <v>0</v>
      </c>
      <c r="I70" s="377">
        <v>0</v>
      </c>
      <c r="J70" s="376">
        <f>SUM(C70:H70)</f>
        <v>3.0249999999999999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0.5</v>
      </c>
      <c r="D74" s="382">
        <f>IF(OR(E1="Monday",E1="Friday"),0.25,0.5)</f>
        <v>0.5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102"/>
  <sheetViews>
    <sheetView zoomScale="25" zoomScaleNormal="25" workbookViewId="0">
      <selection activeCell="R12" sqref="R12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45867</v>
      </c>
      <c r="E1" s="3" t="str">
        <f>TEXT(D1, "dddd")</f>
        <v>星期二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12</v>
      </c>
      <c r="E3" s="23">
        <v>0.6</v>
      </c>
      <c r="F3" s="24" t="s">
        <v>198</v>
      </c>
      <c r="G3" s="20"/>
      <c r="H3" s="20" t="s">
        <v>47</v>
      </c>
      <c r="I3" s="26"/>
      <c r="J3" s="24" t="s">
        <v>14</v>
      </c>
      <c r="K3" s="26"/>
      <c r="L3" s="24" t="s">
        <v>15</v>
      </c>
      <c r="N3" s="22" t="s">
        <v>16</v>
      </c>
      <c r="O3" s="20"/>
      <c r="P3" s="675" t="s">
        <v>17</v>
      </c>
      <c r="Q3" s="676"/>
      <c r="R3" s="676"/>
      <c r="S3" s="677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23</v>
      </c>
      <c r="E4" s="26"/>
      <c r="F4" s="24" t="s">
        <v>24</v>
      </c>
      <c r="G4" s="21"/>
      <c r="H4" s="24" t="s">
        <v>25</v>
      </c>
      <c r="I4" s="26"/>
      <c r="J4" s="24" t="s">
        <v>26</v>
      </c>
      <c r="K4" s="32"/>
      <c r="L4" s="24" t="s">
        <v>101</v>
      </c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 t="s">
        <v>34</v>
      </c>
      <c r="E5" s="26"/>
      <c r="F5" s="24" t="s">
        <v>13</v>
      </c>
      <c r="G5" s="25" t="s">
        <v>192</v>
      </c>
      <c r="H5" s="24" t="s">
        <v>37</v>
      </c>
      <c r="I5" s="25"/>
      <c r="J5" s="24"/>
      <c r="K5" s="26"/>
      <c r="L5" s="24" t="s">
        <v>38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 t="s">
        <v>27</v>
      </c>
      <c r="M6" s="26">
        <v>0.3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2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390" t="s">
        <v>209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62">
      <c r="A9" s="51"/>
      <c r="B9" s="59"/>
      <c r="C9" s="60">
        <v>3</v>
      </c>
      <c r="D9" s="61"/>
      <c r="E9" s="60">
        <v>2.6</v>
      </c>
      <c r="F9" s="32"/>
      <c r="G9" s="62">
        <v>2.5</v>
      </c>
      <c r="H9" s="63">
        <v>3</v>
      </c>
      <c r="I9" s="62">
        <f>H9-I11</f>
        <v>2.6</v>
      </c>
      <c r="J9" s="61"/>
      <c r="K9" s="60">
        <v>2</v>
      </c>
      <c r="L9" s="64">
        <v>3.3</v>
      </c>
      <c r="M9" s="62">
        <f>L9-M11</f>
        <v>3.3</v>
      </c>
      <c r="N9" s="56">
        <v>2</v>
      </c>
      <c r="O9" s="65">
        <f>N9-O11</f>
        <v>1.3</v>
      </c>
      <c r="P9" s="390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81"/>
      <c r="C11" s="82"/>
      <c r="D11" s="83"/>
      <c r="E11" s="84"/>
      <c r="F11" s="85"/>
      <c r="G11" s="86"/>
      <c r="H11" s="87" t="s">
        <v>53</v>
      </c>
      <c r="I11" s="88">
        <v>0.4</v>
      </c>
      <c r="J11" s="85"/>
      <c r="K11" s="89"/>
      <c r="L11" s="87" t="s">
        <v>53</v>
      </c>
      <c r="M11" s="90">
        <v>0</v>
      </c>
      <c r="N11" s="91" t="s">
        <v>54</v>
      </c>
      <c r="O11" s="82">
        <v>0.7</v>
      </c>
      <c r="P11" s="92" t="s">
        <v>199</v>
      </c>
      <c r="Q11" s="92" t="s">
        <v>55</v>
      </c>
      <c r="R11" s="92" t="s">
        <v>210</v>
      </c>
      <c r="S11" s="400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96" t="s">
        <v>58</v>
      </c>
      <c r="B12" s="398" t="s">
        <v>199</v>
      </c>
      <c r="C12" s="98" t="s">
        <v>59</v>
      </c>
      <c r="D12" s="99" t="s">
        <v>60</v>
      </c>
      <c r="E12" s="98" t="s">
        <v>59</v>
      </c>
      <c r="F12" s="99" t="s">
        <v>61</v>
      </c>
      <c r="G12" s="100" t="s">
        <v>59</v>
      </c>
      <c r="H12" s="97" t="s">
        <v>62</v>
      </c>
      <c r="I12" s="98" t="s">
        <v>59</v>
      </c>
      <c r="J12" s="97" t="s">
        <v>63</v>
      </c>
      <c r="K12" s="100" t="s">
        <v>59</v>
      </c>
      <c r="L12" s="97" t="s">
        <v>64</v>
      </c>
      <c r="M12" s="100" t="s">
        <v>59</v>
      </c>
      <c r="N12" s="97" t="s">
        <v>65</v>
      </c>
      <c r="O12" s="100" t="s">
        <v>59</v>
      </c>
      <c r="P12" s="92" t="s">
        <v>60</v>
      </c>
      <c r="Q12" s="92" t="s">
        <v>211</v>
      </c>
      <c r="R12" s="396" t="s">
        <v>200</v>
      </c>
      <c r="S12" s="4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1" t="s">
        <v>71</v>
      </c>
      <c r="C13" s="98" t="s">
        <v>39</v>
      </c>
      <c r="D13" s="395" t="s">
        <v>200</v>
      </c>
      <c r="E13" s="107" t="s">
        <v>70</v>
      </c>
      <c r="F13" s="391" t="s">
        <v>71</v>
      </c>
      <c r="G13" s="391" t="s">
        <v>36</v>
      </c>
      <c r="H13" s="391" t="s">
        <v>210</v>
      </c>
      <c r="I13" s="107" t="s">
        <v>191</v>
      </c>
      <c r="J13" s="391"/>
      <c r="K13" s="391"/>
      <c r="L13" s="391" t="s">
        <v>212</v>
      </c>
      <c r="M13" s="107" t="s">
        <v>213</v>
      </c>
      <c r="N13" s="395" t="s">
        <v>200</v>
      </c>
      <c r="O13" s="20" t="s">
        <v>72</v>
      </c>
      <c r="P13" s="109" t="s">
        <v>75</v>
      </c>
      <c r="Q13" s="391" t="s">
        <v>73</v>
      </c>
      <c r="R13" s="391"/>
      <c r="S13" s="4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1" t="s">
        <v>193</v>
      </c>
      <c r="C14" s="20" t="s">
        <v>36</v>
      </c>
      <c r="D14" s="391"/>
      <c r="E14" s="107"/>
      <c r="F14" s="391"/>
      <c r="G14" s="20"/>
      <c r="H14" s="394"/>
      <c r="I14" s="20"/>
      <c r="J14" s="391"/>
      <c r="K14" s="107"/>
      <c r="L14" s="391" t="s">
        <v>210</v>
      </c>
      <c r="M14" s="107" t="s">
        <v>78</v>
      </c>
      <c r="N14" s="106"/>
      <c r="O14" s="107"/>
      <c r="P14" s="109" t="s">
        <v>206</v>
      </c>
      <c r="Q14" s="92" t="s">
        <v>212</v>
      </c>
      <c r="R14" s="391"/>
      <c r="S14" s="402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99"/>
      <c r="C15" s="107"/>
      <c r="D15" s="99"/>
      <c r="E15" s="107"/>
      <c r="F15" s="99"/>
      <c r="G15" s="107"/>
      <c r="H15" s="106"/>
      <c r="I15" s="107"/>
      <c r="J15" s="108"/>
      <c r="K15" s="107"/>
      <c r="L15" s="108"/>
      <c r="M15" s="20"/>
      <c r="N15" s="24"/>
      <c r="O15" s="107"/>
      <c r="P15" s="109" t="s">
        <v>63</v>
      </c>
      <c r="Q15" s="92" t="s">
        <v>71</v>
      </c>
      <c r="R15" s="391"/>
      <c r="S15" s="402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126"/>
      <c r="F16" s="125"/>
      <c r="G16" s="127"/>
      <c r="H16" s="128"/>
      <c r="I16" s="26"/>
      <c r="J16" s="125"/>
      <c r="K16" s="127"/>
      <c r="L16" s="129"/>
      <c r="N16" s="129"/>
      <c r="O16" s="52"/>
      <c r="P16" s="92" t="s">
        <v>82</v>
      </c>
      <c r="Q16" s="131" t="s">
        <v>65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138"/>
      <c r="D17" s="399" t="s">
        <v>55</v>
      </c>
      <c r="E17" s="139" t="s">
        <v>85</v>
      </c>
      <c r="F17" s="125" t="s">
        <v>66</v>
      </c>
      <c r="G17" s="127" t="s">
        <v>86</v>
      </c>
      <c r="H17" s="125" t="s">
        <v>73</v>
      </c>
      <c r="I17" s="140" t="s">
        <v>87</v>
      </c>
      <c r="J17" s="46"/>
      <c r="L17" s="125"/>
      <c r="M17" s="140"/>
      <c r="N17" s="141" t="s">
        <v>54</v>
      </c>
      <c r="O17" s="142">
        <v>0.4</v>
      </c>
      <c r="P17" s="678" t="s">
        <v>195</v>
      </c>
      <c r="Q17" s="679"/>
      <c r="R17" s="680"/>
      <c r="S17" s="681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2.054913294797688</v>
      </c>
      <c r="C18" s="149"/>
      <c r="D18" s="150">
        <f>D52</f>
        <v>1.7809248554913297</v>
      </c>
      <c r="E18" s="149"/>
      <c r="F18" s="148">
        <f>F52</f>
        <v>1.7124277456647397</v>
      </c>
      <c r="G18" s="150"/>
      <c r="H18" s="148">
        <f>H52</f>
        <v>1.7809248554913297</v>
      </c>
      <c r="I18" s="150"/>
      <c r="J18" s="148">
        <f>J52</f>
        <v>1.3699421965317919</v>
      </c>
      <c r="K18" s="150"/>
      <c r="L18" s="151">
        <f>L52</f>
        <v>2.2604046242774567</v>
      </c>
      <c r="M18" s="149"/>
      <c r="N18" s="152">
        <f>N52</f>
        <v>0.89046242774566486</v>
      </c>
      <c r="O18" s="149">
        <f>N18+O17</f>
        <v>1.2904624277456649</v>
      </c>
      <c r="P18" s="682"/>
      <c r="Q18" s="683"/>
      <c r="R18" s="683"/>
      <c r="S18" s="684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56"/>
      <c r="G19" s="158"/>
      <c r="H19" s="159"/>
      <c r="I19" s="107"/>
      <c r="J19" s="159"/>
      <c r="K19" s="160"/>
      <c r="L19" s="56"/>
      <c r="M19" s="107"/>
      <c r="N19" s="56"/>
      <c r="O19" s="107"/>
      <c r="P19" s="685" t="s">
        <v>90</v>
      </c>
      <c r="Q19" s="686"/>
      <c r="R19" s="686"/>
      <c r="S19" s="687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56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688"/>
      <c r="Q20" s="689"/>
      <c r="R20" s="689"/>
      <c r="S20" s="690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4"/>
      <c r="C21" s="107"/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20"/>
      <c r="C22" s="107"/>
      <c r="D22" s="166"/>
      <c r="E22" s="107"/>
      <c r="F22" s="72"/>
      <c r="G22" s="167"/>
      <c r="H22" s="24"/>
      <c r="I22" s="20"/>
      <c r="J22" s="24"/>
      <c r="K22" s="20"/>
      <c r="L22" s="24"/>
      <c r="M22" s="107"/>
      <c r="N22" s="24"/>
      <c r="O22" s="20"/>
      <c r="P22" s="168"/>
      <c r="Q22" s="691" t="s">
        <v>93</v>
      </c>
      <c r="R22" s="691"/>
      <c r="S22" s="692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B23" s="72"/>
      <c r="C23" s="16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693"/>
      <c r="Q23" s="694"/>
      <c r="R23" s="694"/>
      <c r="S23" s="695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172.5" customHeight="1" thickBot="1">
      <c r="A24" s="96"/>
      <c r="B24" s="56"/>
      <c r="C24" s="182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696"/>
      <c r="Q24" s="697"/>
      <c r="R24" s="697"/>
      <c r="S24" s="698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P27" s="49"/>
      <c r="Q27" s="49"/>
      <c r="R27" s="49"/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15.786127167630056</v>
      </c>
      <c r="C31" s="218"/>
      <c r="D31" s="219">
        <f>D45</f>
        <v>2.947976878612721</v>
      </c>
      <c r="E31" s="220"/>
      <c r="F31" s="221">
        <f>F45</f>
        <v>-1.156069364162704E-2</v>
      </c>
      <c r="G31" s="221"/>
      <c r="H31" s="217">
        <f>H45</f>
        <v>11.947976878612721</v>
      </c>
      <c r="I31" s="218"/>
      <c r="J31" s="217">
        <f>J45</f>
        <v>-10.809248554913296</v>
      </c>
      <c r="K31" s="222"/>
      <c r="L31" s="217">
        <f>L45</f>
        <v>-4.3352601156069426</v>
      </c>
      <c r="M31" s="222"/>
      <c r="N31" s="152">
        <f>N45</f>
        <v>-15.52601156069364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390" t="s">
        <v>12</v>
      </c>
      <c r="E32" s="229" t="s">
        <v>214</v>
      </c>
      <c r="F32" s="390"/>
      <c r="G32" s="393"/>
      <c r="H32" s="24"/>
      <c r="I32" s="230"/>
      <c r="J32" s="24" t="s">
        <v>100</v>
      </c>
      <c r="K32" s="229" t="s">
        <v>99</v>
      </c>
      <c r="L32" s="390" t="s">
        <v>27</v>
      </c>
      <c r="M32" s="393" t="s">
        <v>215</v>
      </c>
      <c r="N32" s="24" t="s">
        <v>35</v>
      </c>
      <c r="O32" s="229" t="s">
        <v>99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/>
      <c r="O33" s="229"/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512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669"/>
      <c r="U41" s="670"/>
      <c r="V41" s="670"/>
      <c r="W41" s="671"/>
      <c r="X41" s="302"/>
      <c r="Y41" s="303"/>
    </row>
    <row r="42" spans="1:34" ht="73" thickBot="1">
      <c r="A42" s="304" t="s">
        <v>136</v>
      </c>
      <c r="B42" s="305">
        <f>SUM(B44:R44)</f>
        <v>17.3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672"/>
      <c r="U42" s="673"/>
      <c r="V42" s="673"/>
      <c r="W42" s="674"/>
      <c r="X42" s="302"/>
      <c r="Y42" s="303"/>
    </row>
    <row r="43" spans="1:34" ht="72">
      <c r="A43" s="304" t="s">
        <v>137</v>
      </c>
      <c r="B43" s="294">
        <f>B41/B42</f>
        <v>29.595375722543352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72">
      <c r="A44" s="310" t="s">
        <v>138</v>
      </c>
      <c r="B44" s="305">
        <f>C9</f>
        <v>3</v>
      </c>
      <c r="C44" s="295"/>
      <c r="D44" s="296">
        <f>E9</f>
        <v>2.6</v>
      </c>
      <c r="E44" s="297"/>
      <c r="F44" s="296">
        <f>G9</f>
        <v>2.5</v>
      </c>
      <c r="G44" s="297"/>
      <c r="H44" s="278">
        <f>I9</f>
        <v>2.6</v>
      </c>
      <c r="I44" s="299"/>
      <c r="J44" s="278">
        <f>K9</f>
        <v>2</v>
      </c>
      <c r="K44" s="299"/>
      <c r="L44" s="278">
        <f>M9</f>
        <v>3.3</v>
      </c>
      <c r="M44" s="299"/>
      <c r="N44" s="311">
        <f>O9</f>
        <v>1.3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15.786127167630056</v>
      </c>
      <c r="C45" s="295"/>
      <c r="D45" s="318">
        <f>B41/B42*D44-D46</f>
        <v>2.947976878612721</v>
      </c>
      <c r="E45" s="319"/>
      <c r="F45" s="318">
        <f>B41/B42*F44-F46</f>
        <v>-1.156069364162704E-2</v>
      </c>
      <c r="G45" s="320"/>
      <c r="H45" s="321">
        <f>B41/B42*H44-H46</f>
        <v>11.947976878612721</v>
      </c>
      <c r="I45" s="322"/>
      <c r="J45" s="321">
        <f>B41/B42*J44-J46</f>
        <v>-10.809248554913296</v>
      </c>
      <c r="K45" s="322"/>
      <c r="L45" s="321">
        <f>B41/B42*L44-L46</f>
        <v>-4.3352601156069426</v>
      </c>
      <c r="M45" s="322"/>
      <c r="N45" s="311">
        <f>B41/B42*N44-N46</f>
        <v>-15.52601156069364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74</v>
      </c>
      <c r="F46" s="318">
        <v>74</v>
      </c>
      <c r="G46" s="320"/>
      <c r="H46" s="332">
        <v>65</v>
      </c>
      <c r="J46" s="321">
        <v>70</v>
      </c>
      <c r="K46" s="322"/>
      <c r="L46" s="333">
        <v>102</v>
      </c>
      <c r="M46" s="322" t="s">
        <v>141</v>
      </c>
      <c r="N46" s="334">
        <v>54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11.85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43.206751054852319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88.786127167630056</v>
      </c>
      <c r="C51" s="354"/>
      <c r="D51" s="354">
        <f>B43*D44</f>
        <v>76.947976878612721</v>
      </c>
      <c r="E51" s="354"/>
      <c r="F51" s="354">
        <f>B43*F44</f>
        <v>73.988439306358373</v>
      </c>
      <c r="G51" s="354"/>
      <c r="H51" s="359">
        <f>B43*H44</f>
        <v>76.947976878612721</v>
      </c>
      <c r="I51" s="354"/>
      <c r="J51" s="354">
        <f>B43*J44</f>
        <v>59.190751445086704</v>
      </c>
      <c r="K51" s="354"/>
      <c r="L51" s="359">
        <f>B43*L44</f>
        <v>97.664739884393057</v>
      </c>
      <c r="M51" s="354"/>
      <c r="N51" s="354">
        <f>B43*N44</f>
        <v>38.47398843930636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2.054913294797688</v>
      </c>
      <c r="C52" s="354"/>
      <c r="D52" s="354">
        <f>D51/B50</f>
        <v>1.7809248554913297</v>
      </c>
      <c r="E52" s="354"/>
      <c r="F52" s="354">
        <f>F51/B50</f>
        <v>1.7124277456647397</v>
      </c>
      <c r="G52" s="354"/>
      <c r="H52" s="354">
        <f>H51/B50</f>
        <v>1.7809248554913297</v>
      </c>
      <c r="I52" s="354"/>
      <c r="J52" s="354">
        <f>J51/B50</f>
        <v>1.3699421965317919</v>
      </c>
      <c r="K52" s="354"/>
      <c r="L52" s="359">
        <f>L51/B50</f>
        <v>2.2604046242774567</v>
      </c>
      <c r="M52" s="354"/>
      <c r="N52" s="354">
        <f>N51/B50</f>
        <v>0.89046242774566486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1</v>
      </c>
      <c r="D70" s="376" t="s">
        <v>178</v>
      </c>
      <c r="E70" s="376">
        <v>0.25</v>
      </c>
      <c r="F70" s="376">
        <f>O17</f>
        <v>0.4</v>
      </c>
      <c r="G70" s="380">
        <v>0.5</v>
      </c>
      <c r="H70" s="376">
        <v>0</v>
      </c>
      <c r="I70" s="377">
        <v>0</v>
      </c>
      <c r="J70" s="376">
        <f>SUM(C70:H70)</f>
        <v>2.15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0.5</v>
      </c>
      <c r="D74" s="382">
        <f>IF(OR(E1="Monday",E1="Friday"),0.25,0.5)</f>
        <v>0.5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8" spans="14:18" ht="36" thickBot="1"/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102"/>
  <sheetViews>
    <sheetView zoomScale="25" zoomScaleNormal="25" workbookViewId="0">
      <selection activeCell="K14" sqref="K14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45867</v>
      </c>
      <c r="E1" s="3" t="str">
        <f>TEXT(D1, "dddd")</f>
        <v>星期二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12</v>
      </c>
      <c r="E3" s="23">
        <v>0.6</v>
      </c>
      <c r="F3" s="24" t="s">
        <v>198</v>
      </c>
      <c r="G3" s="20"/>
      <c r="H3" s="20" t="s">
        <v>47</v>
      </c>
      <c r="I3" s="26"/>
      <c r="J3" s="24" t="s">
        <v>14</v>
      </c>
      <c r="K3" s="26"/>
      <c r="L3" s="24" t="s">
        <v>15</v>
      </c>
      <c r="N3" s="22" t="s">
        <v>16</v>
      </c>
      <c r="O3" s="20"/>
      <c r="P3" s="675" t="s">
        <v>17</v>
      </c>
      <c r="Q3" s="676"/>
      <c r="R3" s="676"/>
      <c r="S3" s="677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23</v>
      </c>
      <c r="E4" s="26"/>
      <c r="F4" s="24" t="s">
        <v>24</v>
      </c>
      <c r="G4" s="21"/>
      <c r="H4" s="24" t="s">
        <v>25</v>
      </c>
      <c r="I4" s="26"/>
      <c r="J4" s="24" t="s">
        <v>26</v>
      </c>
      <c r="K4" s="32"/>
      <c r="L4" s="24" t="s">
        <v>101</v>
      </c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 t="s">
        <v>34</v>
      </c>
      <c r="E5" s="26"/>
      <c r="F5" s="24" t="s">
        <v>13</v>
      </c>
      <c r="G5" s="25" t="s">
        <v>192</v>
      </c>
      <c r="H5" s="24" t="s">
        <v>37</v>
      </c>
      <c r="I5" s="25"/>
      <c r="J5" s="24"/>
      <c r="K5" s="26"/>
      <c r="L5" s="24" t="s">
        <v>38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 t="s">
        <v>27</v>
      </c>
      <c r="M6" s="26">
        <v>0.3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2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390" t="s">
        <v>209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62">
      <c r="A9" s="51"/>
      <c r="B9" s="59"/>
      <c r="C9" s="60">
        <v>3</v>
      </c>
      <c r="D9" s="61"/>
      <c r="E9" s="60">
        <v>2.6</v>
      </c>
      <c r="F9" s="32"/>
      <c r="G9" s="62">
        <v>2.5</v>
      </c>
      <c r="H9" s="63">
        <v>3</v>
      </c>
      <c r="I9" s="62">
        <f>H9-I11</f>
        <v>2.6</v>
      </c>
      <c r="J9" s="61"/>
      <c r="K9" s="60">
        <v>2</v>
      </c>
      <c r="L9" s="64">
        <v>3.3</v>
      </c>
      <c r="M9" s="62">
        <f>L9-M11</f>
        <v>3.3</v>
      </c>
      <c r="N9" s="56">
        <v>2</v>
      </c>
      <c r="O9" s="65">
        <f>N9-O11</f>
        <v>1.3</v>
      </c>
      <c r="P9" s="390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81"/>
      <c r="C11" s="82"/>
      <c r="D11" s="83"/>
      <c r="E11" s="84"/>
      <c r="F11" s="85"/>
      <c r="G11" s="86"/>
      <c r="H11" s="87" t="s">
        <v>53</v>
      </c>
      <c r="I11" s="88">
        <v>0.4</v>
      </c>
      <c r="J11" s="85"/>
      <c r="K11" s="89"/>
      <c r="L11" s="87" t="s">
        <v>53</v>
      </c>
      <c r="M11" s="90">
        <v>0</v>
      </c>
      <c r="N11" s="91" t="s">
        <v>54</v>
      </c>
      <c r="O11" s="82">
        <v>0.7</v>
      </c>
      <c r="P11" s="92" t="s">
        <v>199</v>
      </c>
      <c r="Q11" s="92" t="s">
        <v>55</v>
      </c>
      <c r="R11" s="391" t="s">
        <v>210</v>
      </c>
      <c r="S11" s="93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96" t="s">
        <v>58</v>
      </c>
      <c r="B12" s="398" t="s">
        <v>199</v>
      </c>
      <c r="C12" s="98" t="s">
        <v>59</v>
      </c>
      <c r="D12" s="99" t="s">
        <v>60</v>
      </c>
      <c r="E12" s="98" t="s">
        <v>59</v>
      </c>
      <c r="F12" s="99" t="s">
        <v>61</v>
      </c>
      <c r="G12" s="100" t="s">
        <v>59</v>
      </c>
      <c r="H12" s="97" t="s">
        <v>62</v>
      </c>
      <c r="I12" s="98" t="s">
        <v>59</v>
      </c>
      <c r="J12" s="97" t="s">
        <v>63</v>
      </c>
      <c r="K12" s="100" t="s">
        <v>59</v>
      </c>
      <c r="L12" s="97" t="s">
        <v>64</v>
      </c>
      <c r="M12" s="100" t="s">
        <v>59</v>
      </c>
      <c r="N12" s="97" t="s">
        <v>65</v>
      </c>
      <c r="O12" s="100" t="s">
        <v>59</v>
      </c>
      <c r="P12" s="92" t="s">
        <v>60</v>
      </c>
      <c r="Q12" s="92" t="s">
        <v>211</v>
      </c>
      <c r="R12" s="396" t="s">
        <v>200</v>
      </c>
      <c r="S12" s="1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1" t="s">
        <v>71</v>
      </c>
      <c r="C13" s="98" t="s">
        <v>39</v>
      </c>
      <c r="D13" s="395" t="s">
        <v>200</v>
      </c>
      <c r="E13" s="107" t="s">
        <v>39</v>
      </c>
      <c r="F13" s="391" t="s">
        <v>71</v>
      </c>
      <c r="G13" s="391" t="s">
        <v>36</v>
      </c>
      <c r="H13" s="391" t="s">
        <v>210</v>
      </c>
      <c r="I13" s="107" t="s">
        <v>191</v>
      </c>
      <c r="J13" s="391" t="s">
        <v>73</v>
      </c>
      <c r="K13" s="107" t="s">
        <v>78</v>
      </c>
      <c r="L13" s="391" t="s">
        <v>212</v>
      </c>
      <c r="M13" s="107" t="s">
        <v>213</v>
      </c>
      <c r="N13" s="395" t="s">
        <v>200</v>
      </c>
      <c r="O13" s="20" t="s">
        <v>72</v>
      </c>
      <c r="P13" s="109" t="s">
        <v>75</v>
      </c>
      <c r="Q13" s="391" t="s">
        <v>73</v>
      </c>
      <c r="R13" s="391"/>
      <c r="S13" s="1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1" t="s">
        <v>193</v>
      </c>
      <c r="C14" s="20" t="s">
        <v>36</v>
      </c>
      <c r="D14" s="391" t="s">
        <v>73</v>
      </c>
      <c r="E14" s="107" t="s">
        <v>72</v>
      </c>
      <c r="F14" s="391" t="s">
        <v>73</v>
      </c>
      <c r="G14" s="20" t="s">
        <v>74</v>
      </c>
      <c r="H14" s="394"/>
      <c r="I14" s="20"/>
      <c r="J14" s="391" t="s">
        <v>210</v>
      </c>
      <c r="K14" s="107" t="s">
        <v>74</v>
      </c>
      <c r="L14" s="395" t="s">
        <v>200</v>
      </c>
      <c r="M14" s="107" t="s">
        <v>78</v>
      </c>
      <c r="N14" s="106"/>
      <c r="O14" s="107"/>
      <c r="P14" s="109" t="s">
        <v>206</v>
      </c>
      <c r="Q14" s="92" t="s">
        <v>212</v>
      </c>
      <c r="R14" s="391"/>
      <c r="S14" s="115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99"/>
      <c r="C15" s="107"/>
      <c r="D15" s="99"/>
      <c r="E15" s="107"/>
      <c r="F15" s="99"/>
      <c r="G15" s="107"/>
      <c r="H15" s="106"/>
      <c r="I15" s="107"/>
      <c r="J15" s="391"/>
      <c r="K15" s="107"/>
      <c r="L15" s="108"/>
      <c r="M15" s="20"/>
      <c r="N15" s="24"/>
      <c r="O15" s="107"/>
      <c r="P15" s="109" t="s">
        <v>63</v>
      </c>
      <c r="Q15" s="92" t="s">
        <v>71</v>
      </c>
      <c r="R15" s="391"/>
      <c r="S15" s="115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126"/>
      <c r="F16" s="125"/>
      <c r="G16" s="127"/>
      <c r="H16" s="128"/>
      <c r="I16" s="26"/>
      <c r="J16" s="125"/>
      <c r="K16" s="127"/>
      <c r="L16" s="129"/>
      <c r="N16" s="129"/>
      <c r="O16" s="52"/>
      <c r="P16" s="92" t="s">
        <v>82</v>
      </c>
      <c r="Q16" s="131" t="s">
        <v>65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138"/>
      <c r="D17" s="399" t="s">
        <v>55</v>
      </c>
      <c r="E17" s="139" t="s">
        <v>85</v>
      </c>
      <c r="F17" s="125" t="s">
        <v>66</v>
      </c>
      <c r="G17" s="127" t="s">
        <v>86</v>
      </c>
      <c r="H17" s="125" t="s">
        <v>73</v>
      </c>
      <c r="I17" s="140" t="s">
        <v>87</v>
      </c>
      <c r="J17" s="46"/>
      <c r="L17" s="125"/>
      <c r="M17" s="140"/>
      <c r="N17" s="141" t="s">
        <v>54</v>
      </c>
      <c r="O17" s="142">
        <v>0.4</v>
      </c>
      <c r="P17" s="678" t="s">
        <v>195</v>
      </c>
      <c r="Q17" s="679"/>
      <c r="R17" s="680"/>
      <c r="S17" s="681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2.054913294797688</v>
      </c>
      <c r="C18" s="149"/>
      <c r="D18" s="150">
        <f>D52</f>
        <v>1.7809248554913297</v>
      </c>
      <c r="E18" s="149"/>
      <c r="F18" s="148">
        <f>F52</f>
        <v>1.7124277456647397</v>
      </c>
      <c r="G18" s="150"/>
      <c r="H18" s="148">
        <f>H52</f>
        <v>1.7809248554913297</v>
      </c>
      <c r="I18" s="150"/>
      <c r="J18" s="148">
        <f>J52</f>
        <v>1.3699421965317919</v>
      </c>
      <c r="K18" s="150"/>
      <c r="L18" s="151">
        <f>L52</f>
        <v>2.2604046242774567</v>
      </c>
      <c r="M18" s="149"/>
      <c r="N18" s="152">
        <f>N52</f>
        <v>0.89046242774566486</v>
      </c>
      <c r="O18" s="149">
        <f>N18+O17</f>
        <v>1.2904624277456649</v>
      </c>
      <c r="P18" s="682"/>
      <c r="Q18" s="683"/>
      <c r="R18" s="683"/>
      <c r="S18" s="684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56"/>
      <c r="G19" s="158"/>
      <c r="H19" s="159"/>
      <c r="I19" s="107"/>
      <c r="J19" s="159"/>
      <c r="K19" s="160"/>
      <c r="L19" s="56"/>
      <c r="M19" s="107"/>
      <c r="N19" s="56"/>
      <c r="O19" s="107"/>
      <c r="P19" s="685" t="s">
        <v>90</v>
      </c>
      <c r="Q19" s="686"/>
      <c r="R19" s="686"/>
      <c r="S19" s="687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56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688"/>
      <c r="Q20" s="689"/>
      <c r="R20" s="689"/>
      <c r="S20" s="690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4"/>
      <c r="C21" s="107"/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20"/>
      <c r="C22" s="107"/>
      <c r="D22" s="166"/>
      <c r="E22" s="107"/>
      <c r="F22" s="72"/>
      <c r="G22" s="167"/>
      <c r="H22" s="24"/>
      <c r="I22" s="20"/>
      <c r="J22" s="24"/>
      <c r="K22" s="20"/>
      <c r="L22" s="24"/>
      <c r="M22" s="107"/>
      <c r="N22" s="24"/>
      <c r="O22" s="20"/>
      <c r="P22" s="168"/>
      <c r="Q22" s="691" t="s">
        <v>93</v>
      </c>
      <c r="R22" s="691"/>
      <c r="S22" s="692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B23" s="72"/>
      <c r="C23" s="16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693"/>
      <c r="Q23" s="694"/>
      <c r="R23" s="694"/>
      <c r="S23" s="695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172.5" customHeight="1" thickBot="1">
      <c r="A24" s="96"/>
      <c r="B24" s="56"/>
      <c r="C24" s="182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696"/>
      <c r="Q24" s="697"/>
      <c r="R24" s="697"/>
      <c r="S24" s="698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P27" s="49"/>
      <c r="Q27" s="49"/>
      <c r="R27" s="49"/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15.786127167630056</v>
      </c>
      <c r="C31" s="218"/>
      <c r="D31" s="219">
        <f>D45</f>
        <v>2.947976878612721</v>
      </c>
      <c r="E31" s="220"/>
      <c r="F31" s="221">
        <f>F45</f>
        <v>-1.156069364162704E-2</v>
      </c>
      <c r="G31" s="221"/>
      <c r="H31" s="217">
        <f>H45</f>
        <v>11.947976878612721</v>
      </c>
      <c r="I31" s="218"/>
      <c r="J31" s="217">
        <f>J45</f>
        <v>-10.809248554913296</v>
      </c>
      <c r="K31" s="222"/>
      <c r="L31" s="217">
        <f>L45</f>
        <v>-4.3352601156069426</v>
      </c>
      <c r="M31" s="222"/>
      <c r="N31" s="152">
        <f>N45</f>
        <v>-15.52601156069364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390" t="s">
        <v>12</v>
      </c>
      <c r="E32" s="229" t="s">
        <v>214</v>
      </c>
      <c r="F32" s="390"/>
      <c r="G32" s="393"/>
      <c r="H32" s="24"/>
      <c r="I32" s="230"/>
      <c r="J32" s="24" t="s">
        <v>100</v>
      </c>
      <c r="K32" s="229" t="s">
        <v>99</v>
      </c>
      <c r="L32" s="390" t="s">
        <v>27</v>
      </c>
      <c r="M32" s="393" t="s">
        <v>215</v>
      </c>
      <c r="N32" s="24" t="s">
        <v>35</v>
      </c>
      <c r="O32" s="229" t="s">
        <v>99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/>
      <c r="O33" s="229"/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512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669"/>
      <c r="U41" s="670"/>
      <c r="V41" s="670"/>
      <c r="W41" s="671"/>
      <c r="X41" s="302"/>
      <c r="Y41" s="303"/>
    </row>
    <row r="42" spans="1:34" ht="73" thickBot="1">
      <c r="A42" s="304" t="s">
        <v>136</v>
      </c>
      <c r="B42" s="305">
        <f>SUM(B44:R44)</f>
        <v>17.3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672"/>
      <c r="U42" s="673"/>
      <c r="V42" s="673"/>
      <c r="W42" s="674"/>
      <c r="X42" s="302"/>
      <c r="Y42" s="303"/>
    </row>
    <row r="43" spans="1:34" ht="72">
      <c r="A43" s="304" t="s">
        <v>137</v>
      </c>
      <c r="B43" s="294">
        <f>B41/B42</f>
        <v>29.595375722543352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72">
      <c r="A44" s="310" t="s">
        <v>138</v>
      </c>
      <c r="B44" s="305">
        <f>C9</f>
        <v>3</v>
      </c>
      <c r="C44" s="295"/>
      <c r="D44" s="296">
        <f>E9</f>
        <v>2.6</v>
      </c>
      <c r="E44" s="297"/>
      <c r="F44" s="296">
        <f>G9</f>
        <v>2.5</v>
      </c>
      <c r="G44" s="297"/>
      <c r="H44" s="278">
        <f>I9</f>
        <v>2.6</v>
      </c>
      <c r="I44" s="299"/>
      <c r="J44" s="278">
        <f>K9</f>
        <v>2</v>
      </c>
      <c r="K44" s="299"/>
      <c r="L44" s="278">
        <f>M9</f>
        <v>3.3</v>
      </c>
      <c r="M44" s="299"/>
      <c r="N44" s="311">
        <f>O9</f>
        <v>1.3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15.786127167630056</v>
      </c>
      <c r="C45" s="295"/>
      <c r="D45" s="318">
        <f>B41/B42*D44-D46</f>
        <v>2.947976878612721</v>
      </c>
      <c r="E45" s="319"/>
      <c r="F45" s="318">
        <f>B41/B42*F44-F46</f>
        <v>-1.156069364162704E-2</v>
      </c>
      <c r="G45" s="320"/>
      <c r="H45" s="321">
        <f>B41/B42*H44-H46</f>
        <v>11.947976878612721</v>
      </c>
      <c r="I45" s="322"/>
      <c r="J45" s="321">
        <f>B41/B42*J44-J46</f>
        <v>-10.809248554913296</v>
      </c>
      <c r="K45" s="322"/>
      <c r="L45" s="321">
        <f>B41/B42*L44-L46</f>
        <v>-4.3352601156069426</v>
      </c>
      <c r="M45" s="322"/>
      <c r="N45" s="311">
        <f>B41/B42*N44-N46</f>
        <v>-15.52601156069364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74</v>
      </c>
      <c r="F46" s="318">
        <v>74</v>
      </c>
      <c r="G46" s="320"/>
      <c r="H46" s="332">
        <v>65</v>
      </c>
      <c r="J46" s="321">
        <v>70</v>
      </c>
      <c r="K46" s="322"/>
      <c r="L46" s="333">
        <v>102</v>
      </c>
      <c r="M46" s="322" t="s">
        <v>141</v>
      </c>
      <c r="N46" s="334">
        <v>54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11.85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43.206751054852319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88.786127167630056</v>
      </c>
      <c r="C51" s="354"/>
      <c r="D51" s="354">
        <f>B43*D44</f>
        <v>76.947976878612721</v>
      </c>
      <c r="E51" s="354"/>
      <c r="F51" s="354">
        <f>B43*F44</f>
        <v>73.988439306358373</v>
      </c>
      <c r="G51" s="354"/>
      <c r="H51" s="359">
        <f>B43*H44</f>
        <v>76.947976878612721</v>
      </c>
      <c r="I51" s="354"/>
      <c r="J51" s="354">
        <f>B43*J44</f>
        <v>59.190751445086704</v>
      </c>
      <c r="K51" s="354"/>
      <c r="L51" s="359">
        <f>B43*L44</f>
        <v>97.664739884393057</v>
      </c>
      <c r="M51" s="354"/>
      <c r="N51" s="354">
        <f>B43*N44</f>
        <v>38.47398843930636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2.054913294797688</v>
      </c>
      <c r="C52" s="354"/>
      <c r="D52" s="354">
        <f>D51/B50</f>
        <v>1.7809248554913297</v>
      </c>
      <c r="E52" s="354"/>
      <c r="F52" s="354">
        <f>F51/B50</f>
        <v>1.7124277456647397</v>
      </c>
      <c r="G52" s="354"/>
      <c r="H52" s="354">
        <f>H51/B50</f>
        <v>1.7809248554913297</v>
      </c>
      <c r="I52" s="354"/>
      <c r="J52" s="354">
        <f>J51/B50</f>
        <v>1.3699421965317919</v>
      </c>
      <c r="K52" s="354"/>
      <c r="L52" s="359">
        <f>L51/B50</f>
        <v>2.2604046242774567</v>
      </c>
      <c r="M52" s="354"/>
      <c r="N52" s="354">
        <f>N51/B50</f>
        <v>0.89046242774566486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1</v>
      </c>
      <c r="D70" s="376" t="s">
        <v>178</v>
      </c>
      <c r="E70" s="376">
        <v>0.25</v>
      </c>
      <c r="F70" s="376">
        <f>O17</f>
        <v>0.4</v>
      </c>
      <c r="G70" s="380">
        <v>0.5</v>
      </c>
      <c r="H70" s="376">
        <v>0</v>
      </c>
      <c r="I70" s="377">
        <v>0</v>
      </c>
      <c r="J70" s="376">
        <f>SUM(C70:H70)</f>
        <v>2.15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0.5</v>
      </c>
      <c r="D74" s="382">
        <f>IF(OR(E1="Monday",E1="Friday"),0.25,0.5)</f>
        <v>0.5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8" spans="14:18" ht="36" thickBot="1"/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102"/>
  <sheetViews>
    <sheetView zoomScale="25" zoomScaleNormal="25" workbookViewId="0">
      <selection activeCell="K15" sqref="K15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45867</v>
      </c>
      <c r="E1" s="3" t="str">
        <f>TEXT(D1, "dddd")</f>
        <v>星期二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12</v>
      </c>
      <c r="E3" s="23">
        <v>0.6</v>
      </c>
      <c r="F3" s="24" t="s">
        <v>198</v>
      </c>
      <c r="G3" s="20"/>
      <c r="H3" s="20" t="s">
        <v>47</v>
      </c>
      <c r="I3" s="26"/>
      <c r="J3" s="24" t="s">
        <v>14</v>
      </c>
      <c r="K3" s="26"/>
      <c r="L3" s="24" t="s">
        <v>15</v>
      </c>
      <c r="N3" s="22" t="s">
        <v>16</v>
      </c>
      <c r="O3" s="20"/>
      <c r="P3" s="675" t="s">
        <v>17</v>
      </c>
      <c r="Q3" s="676"/>
      <c r="R3" s="676"/>
      <c r="S3" s="677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23</v>
      </c>
      <c r="E4" s="26"/>
      <c r="F4" s="24" t="s">
        <v>24</v>
      </c>
      <c r="G4" s="21"/>
      <c r="H4" s="24" t="s">
        <v>25</v>
      </c>
      <c r="I4" s="26"/>
      <c r="J4" s="24" t="s">
        <v>26</v>
      </c>
      <c r="K4" s="32"/>
      <c r="L4" s="24" t="s">
        <v>101</v>
      </c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 t="s">
        <v>34</v>
      </c>
      <c r="E5" s="26"/>
      <c r="F5" s="24" t="s">
        <v>13</v>
      </c>
      <c r="G5" s="25" t="s">
        <v>192</v>
      </c>
      <c r="H5" s="24" t="s">
        <v>37</v>
      </c>
      <c r="I5" s="25"/>
      <c r="J5" s="24"/>
      <c r="K5" s="26"/>
      <c r="L5" s="24" t="s">
        <v>38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 t="s">
        <v>27</v>
      </c>
      <c r="M6" s="26">
        <v>0.3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2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390" t="s">
        <v>209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62">
      <c r="A9" s="51"/>
      <c r="B9" s="59"/>
      <c r="C9" s="60">
        <v>3</v>
      </c>
      <c r="D9" s="61"/>
      <c r="E9" s="60">
        <v>2.6</v>
      </c>
      <c r="F9" s="32"/>
      <c r="G9" s="62">
        <v>2.5</v>
      </c>
      <c r="H9" s="63">
        <v>3</v>
      </c>
      <c r="I9" s="62">
        <f>H9-I11</f>
        <v>2.6</v>
      </c>
      <c r="J9" s="61"/>
      <c r="K9" s="60">
        <v>2</v>
      </c>
      <c r="L9" s="64">
        <v>3.3</v>
      </c>
      <c r="M9" s="62">
        <f>L9-M11</f>
        <v>3.3</v>
      </c>
      <c r="N9" s="56">
        <v>2</v>
      </c>
      <c r="O9" s="65">
        <f>N9-O11</f>
        <v>1.3</v>
      </c>
      <c r="P9" s="390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81"/>
      <c r="C11" s="82"/>
      <c r="D11" s="83"/>
      <c r="E11" s="84"/>
      <c r="F11" s="85"/>
      <c r="G11" s="86"/>
      <c r="H11" s="87" t="s">
        <v>53</v>
      </c>
      <c r="I11" s="88">
        <v>0.4</v>
      </c>
      <c r="J11" s="85"/>
      <c r="K11" s="89"/>
      <c r="L11" s="87" t="s">
        <v>53</v>
      </c>
      <c r="M11" s="90">
        <v>0</v>
      </c>
      <c r="N11" s="91" t="s">
        <v>54</v>
      </c>
      <c r="O11" s="82">
        <v>0.7</v>
      </c>
      <c r="P11" s="92" t="s">
        <v>199</v>
      </c>
      <c r="Q11" s="92" t="s">
        <v>55</v>
      </c>
      <c r="R11" s="391" t="s">
        <v>210</v>
      </c>
      <c r="S11" s="93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96" t="s">
        <v>58</v>
      </c>
      <c r="B12" s="398" t="s">
        <v>199</v>
      </c>
      <c r="C12" s="98" t="s">
        <v>59</v>
      </c>
      <c r="D12" s="99" t="s">
        <v>60</v>
      </c>
      <c r="E12" s="98" t="s">
        <v>59</v>
      </c>
      <c r="F12" s="99" t="s">
        <v>61</v>
      </c>
      <c r="G12" s="100" t="s">
        <v>59</v>
      </c>
      <c r="H12" s="97" t="s">
        <v>62</v>
      </c>
      <c r="I12" s="98" t="s">
        <v>59</v>
      </c>
      <c r="J12" s="97" t="s">
        <v>63</v>
      </c>
      <c r="K12" s="100" t="s">
        <v>59</v>
      </c>
      <c r="L12" s="97" t="s">
        <v>64</v>
      </c>
      <c r="M12" s="100" t="s">
        <v>59</v>
      </c>
      <c r="N12" s="97" t="s">
        <v>65</v>
      </c>
      <c r="O12" s="100" t="s">
        <v>59</v>
      </c>
      <c r="P12" s="92" t="s">
        <v>60</v>
      </c>
      <c r="Q12" s="92" t="s">
        <v>211</v>
      </c>
      <c r="R12" s="396" t="s">
        <v>200</v>
      </c>
      <c r="S12" s="1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1" t="s">
        <v>71</v>
      </c>
      <c r="C13" s="98" t="s">
        <v>213</v>
      </c>
      <c r="D13" s="395" t="s">
        <v>200</v>
      </c>
      <c r="E13" s="107" t="s">
        <v>261</v>
      </c>
      <c r="F13" s="391" t="s">
        <v>193</v>
      </c>
      <c r="G13" s="391" t="s">
        <v>36</v>
      </c>
      <c r="H13" s="391" t="s">
        <v>210</v>
      </c>
      <c r="I13" s="107" t="s">
        <v>296</v>
      </c>
      <c r="J13" s="391" t="s">
        <v>73</v>
      </c>
      <c r="K13" s="107" t="s">
        <v>78</v>
      </c>
      <c r="L13" s="391" t="s">
        <v>212</v>
      </c>
      <c r="M13" s="107" t="s">
        <v>213</v>
      </c>
      <c r="N13" s="395" t="s">
        <v>200</v>
      </c>
      <c r="O13" s="20" t="s">
        <v>72</v>
      </c>
      <c r="P13" s="109" t="s">
        <v>75</v>
      </c>
      <c r="Q13" s="391" t="s">
        <v>73</v>
      </c>
      <c r="R13" s="391"/>
      <c r="S13" s="1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1"/>
      <c r="C14" s="20"/>
      <c r="D14" s="391" t="s">
        <v>73</v>
      </c>
      <c r="E14" s="107" t="s">
        <v>72</v>
      </c>
      <c r="F14" s="391" t="s">
        <v>73</v>
      </c>
      <c r="G14" s="20" t="s">
        <v>74</v>
      </c>
      <c r="H14" s="394"/>
      <c r="I14" s="20"/>
      <c r="J14" s="395" t="s">
        <v>200</v>
      </c>
      <c r="K14" s="107" t="s">
        <v>74</v>
      </c>
      <c r="L14" s="391" t="s">
        <v>210</v>
      </c>
      <c r="M14" s="107" t="s">
        <v>78</v>
      </c>
      <c r="N14" s="106"/>
      <c r="O14" s="107"/>
      <c r="P14" s="109" t="s">
        <v>206</v>
      </c>
      <c r="Q14" s="92" t="s">
        <v>212</v>
      </c>
      <c r="R14" s="391"/>
      <c r="S14" s="115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99"/>
      <c r="C15" s="107"/>
      <c r="D15" s="99"/>
      <c r="E15" s="107"/>
      <c r="F15" s="99"/>
      <c r="G15" s="107"/>
      <c r="H15" s="106"/>
      <c r="I15" s="107"/>
      <c r="J15" s="108"/>
      <c r="K15" s="107"/>
      <c r="L15" s="108"/>
      <c r="M15" s="20"/>
      <c r="N15" s="24"/>
      <c r="O15" s="107"/>
      <c r="P15" s="109" t="s">
        <v>63</v>
      </c>
      <c r="Q15" s="92" t="s">
        <v>71</v>
      </c>
      <c r="R15" s="391"/>
      <c r="S15" s="115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126"/>
      <c r="F16" s="125"/>
      <c r="G16" s="127"/>
      <c r="H16" s="128"/>
      <c r="I16" s="26"/>
      <c r="J16" s="125"/>
      <c r="K16" s="127"/>
      <c r="L16" s="129"/>
      <c r="N16" s="129"/>
      <c r="O16" s="52"/>
      <c r="P16" s="92" t="s">
        <v>82</v>
      </c>
      <c r="Q16" s="131" t="s">
        <v>65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138"/>
      <c r="D17" s="399" t="s">
        <v>55</v>
      </c>
      <c r="E17" s="139" t="s">
        <v>85</v>
      </c>
      <c r="F17" s="125" t="s">
        <v>66</v>
      </c>
      <c r="G17" s="127" t="s">
        <v>86</v>
      </c>
      <c r="H17" s="125" t="s">
        <v>73</v>
      </c>
      <c r="I17" s="140" t="s">
        <v>87</v>
      </c>
      <c r="J17" s="46"/>
      <c r="L17" s="125"/>
      <c r="M17" s="140"/>
      <c r="N17" s="141" t="s">
        <v>54</v>
      </c>
      <c r="O17" s="142">
        <v>0.4</v>
      </c>
      <c r="P17" s="678" t="s">
        <v>195</v>
      </c>
      <c r="Q17" s="679"/>
      <c r="R17" s="680"/>
      <c r="S17" s="681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2.054913294797688</v>
      </c>
      <c r="C18" s="149"/>
      <c r="D18" s="150">
        <f>D52</f>
        <v>1.7809248554913297</v>
      </c>
      <c r="E18" s="149"/>
      <c r="F18" s="148">
        <f>F52</f>
        <v>1.7124277456647397</v>
      </c>
      <c r="G18" s="150"/>
      <c r="H18" s="148">
        <f>H52</f>
        <v>1.7809248554913297</v>
      </c>
      <c r="I18" s="150"/>
      <c r="J18" s="148">
        <f>J52</f>
        <v>1.3699421965317919</v>
      </c>
      <c r="K18" s="150"/>
      <c r="L18" s="151">
        <f>L52</f>
        <v>2.2604046242774567</v>
      </c>
      <c r="M18" s="149"/>
      <c r="N18" s="152">
        <f>N52</f>
        <v>0.89046242774566486</v>
      </c>
      <c r="O18" s="149">
        <f>N18+O17</f>
        <v>1.2904624277456649</v>
      </c>
      <c r="P18" s="682"/>
      <c r="Q18" s="683"/>
      <c r="R18" s="683"/>
      <c r="S18" s="684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56"/>
      <c r="G19" s="158"/>
      <c r="H19" s="159"/>
      <c r="I19" s="107"/>
      <c r="J19" s="159"/>
      <c r="K19" s="160"/>
      <c r="L19" s="56"/>
      <c r="M19" s="107"/>
      <c r="N19" s="56"/>
      <c r="O19" s="107"/>
      <c r="P19" s="685" t="s">
        <v>90</v>
      </c>
      <c r="Q19" s="686"/>
      <c r="R19" s="686"/>
      <c r="S19" s="687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56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688"/>
      <c r="Q20" s="689"/>
      <c r="R20" s="689"/>
      <c r="S20" s="690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4"/>
      <c r="C21" s="107"/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20"/>
      <c r="C22" s="107"/>
      <c r="D22" s="166"/>
      <c r="E22" s="107"/>
      <c r="F22" s="72"/>
      <c r="G22" s="167"/>
      <c r="H22" s="24"/>
      <c r="I22" s="20"/>
      <c r="J22" s="24"/>
      <c r="K22" s="20"/>
      <c r="L22" s="24"/>
      <c r="M22" s="107"/>
      <c r="N22" s="24"/>
      <c r="O22" s="20"/>
      <c r="P22" s="168"/>
      <c r="Q22" s="691" t="s">
        <v>93</v>
      </c>
      <c r="R22" s="691"/>
      <c r="S22" s="692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B23" s="72"/>
      <c r="C23" s="16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693"/>
      <c r="Q23" s="694"/>
      <c r="R23" s="694"/>
      <c r="S23" s="695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172.5" customHeight="1" thickBot="1">
      <c r="A24" s="96"/>
      <c r="B24" s="56"/>
      <c r="C24" s="182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696"/>
      <c r="Q24" s="697"/>
      <c r="R24" s="697"/>
      <c r="S24" s="698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P27" s="49"/>
      <c r="Q27" s="49"/>
      <c r="R27" s="49"/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15.786127167630056</v>
      </c>
      <c r="C31" s="218"/>
      <c r="D31" s="219">
        <f>D45</f>
        <v>2.947976878612721</v>
      </c>
      <c r="E31" s="220"/>
      <c r="F31" s="221">
        <f>F45</f>
        <v>-1.156069364162704E-2</v>
      </c>
      <c r="G31" s="221"/>
      <c r="H31" s="217">
        <f>H45</f>
        <v>11.947976878612721</v>
      </c>
      <c r="I31" s="218"/>
      <c r="J31" s="217">
        <f>J45</f>
        <v>-10.809248554913296</v>
      </c>
      <c r="K31" s="222"/>
      <c r="L31" s="217">
        <f>L45</f>
        <v>-4.3352601156069426</v>
      </c>
      <c r="M31" s="222"/>
      <c r="N31" s="152">
        <f>N45</f>
        <v>-15.52601156069364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390" t="s">
        <v>12</v>
      </c>
      <c r="E32" s="229" t="s">
        <v>214</v>
      </c>
      <c r="F32" s="390"/>
      <c r="G32" s="393"/>
      <c r="H32" s="24"/>
      <c r="I32" s="230"/>
      <c r="J32" s="24" t="s">
        <v>100</v>
      </c>
      <c r="K32" s="229" t="s">
        <v>99</v>
      </c>
      <c r="L32" s="390" t="s">
        <v>27</v>
      </c>
      <c r="M32" s="393" t="s">
        <v>215</v>
      </c>
      <c r="N32" s="24" t="s">
        <v>35</v>
      </c>
      <c r="O32" s="229" t="s">
        <v>99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/>
      <c r="O33" s="229"/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512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669"/>
      <c r="U41" s="670"/>
      <c r="V41" s="670"/>
      <c r="W41" s="671"/>
      <c r="X41" s="302"/>
      <c r="Y41" s="303"/>
    </row>
    <row r="42" spans="1:34" ht="73" thickBot="1">
      <c r="A42" s="304" t="s">
        <v>136</v>
      </c>
      <c r="B42" s="305">
        <f>SUM(B44:R44)</f>
        <v>17.3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672"/>
      <c r="U42" s="673"/>
      <c r="V42" s="673"/>
      <c r="W42" s="674"/>
      <c r="X42" s="302"/>
      <c r="Y42" s="303"/>
    </row>
    <row r="43" spans="1:34" ht="72">
      <c r="A43" s="304" t="s">
        <v>137</v>
      </c>
      <c r="B43" s="294">
        <f>B41/B42</f>
        <v>29.595375722543352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72">
      <c r="A44" s="310" t="s">
        <v>138</v>
      </c>
      <c r="B44" s="305">
        <f>C9</f>
        <v>3</v>
      </c>
      <c r="C44" s="295"/>
      <c r="D44" s="296">
        <f>E9</f>
        <v>2.6</v>
      </c>
      <c r="E44" s="297"/>
      <c r="F44" s="296">
        <f>G9</f>
        <v>2.5</v>
      </c>
      <c r="G44" s="297"/>
      <c r="H44" s="278">
        <f>I9</f>
        <v>2.6</v>
      </c>
      <c r="I44" s="299"/>
      <c r="J44" s="278">
        <f>K9</f>
        <v>2</v>
      </c>
      <c r="K44" s="299"/>
      <c r="L44" s="278">
        <f>M9</f>
        <v>3.3</v>
      </c>
      <c r="M44" s="299"/>
      <c r="N44" s="311">
        <f>O9</f>
        <v>1.3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15.786127167630056</v>
      </c>
      <c r="C45" s="295"/>
      <c r="D45" s="318">
        <f>B41/B42*D44-D46</f>
        <v>2.947976878612721</v>
      </c>
      <c r="E45" s="319"/>
      <c r="F45" s="318">
        <f>B41/B42*F44-F46</f>
        <v>-1.156069364162704E-2</v>
      </c>
      <c r="G45" s="320"/>
      <c r="H45" s="321">
        <f>B41/B42*H44-H46</f>
        <v>11.947976878612721</v>
      </c>
      <c r="I45" s="322"/>
      <c r="J45" s="321">
        <f>B41/B42*J44-J46</f>
        <v>-10.809248554913296</v>
      </c>
      <c r="K45" s="322"/>
      <c r="L45" s="321">
        <f>B41/B42*L44-L46</f>
        <v>-4.3352601156069426</v>
      </c>
      <c r="M45" s="322"/>
      <c r="N45" s="311">
        <f>B41/B42*N44-N46</f>
        <v>-15.52601156069364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74</v>
      </c>
      <c r="F46" s="318">
        <v>74</v>
      </c>
      <c r="G46" s="320"/>
      <c r="H46" s="332">
        <v>65</v>
      </c>
      <c r="J46" s="321">
        <v>70</v>
      </c>
      <c r="K46" s="322"/>
      <c r="L46" s="333">
        <v>102</v>
      </c>
      <c r="M46" s="322" t="s">
        <v>141</v>
      </c>
      <c r="N46" s="334">
        <v>54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11.85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43.206751054852319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88.786127167630056</v>
      </c>
      <c r="C51" s="354"/>
      <c r="D51" s="354">
        <f>B43*D44</f>
        <v>76.947976878612721</v>
      </c>
      <c r="E51" s="354"/>
      <c r="F51" s="354">
        <f>B43*F44</f>
        <v>73.988439306358373</v>
      </c>
      <c r="G51" s="354"/>
      <c r="H51" s="359">
        <f>B43*H44</f>
        <v>76.947976878612721</v>
      </c>
      <c r="I51" s="354"/>
      <c r="J51" s="354">
        <f>B43*J44</f>
        <v>59.190751445086704</v>
      </c>
      <c r="K51" s="354"/>
      <c r="L51" s="359">
        <f>B43*L44</f>
        <v>97.664739884393057</v>
      </c>
      <c r="M51" s="354"/>
      <c r="N51" s="354">
        <f>B43*N44</f>
        <v>38.47398843930636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2.054913294797688</v>
      </c>
      <c r="C52" s="354"/>
      <c r="D52" s="354">
        <f>D51/B50</f>
        <v>1.7809248554913297</v>
      </c>
      <c r="E52" s="354"/>
      <c r="F52" s="354">
        <f>F51/B50</f>
        <v>1.7124277456647397</v>
      </c>
      <c r="G52" s="354"/>
      <c r="H52" s="354">
        <f>H51/B50</f>
        <v>1.7809248554913297</v>
      </c>
      <c r="I52" s="354"/>
      <c r="J52" s="354">
        <f>J51/B50</f>
        <v>1.3699421965317919</v>
      </c>
      <c r="K52" s="354"/>
      <c r="L52" s="359">
        <f>L51/B50</f>
        <v>2.2604046242774567</v>
      </c>
      <c r="M52" s="354"/>
      <c r="N52" s="354">
        <f>N51/B50</f>
        <v>0.89046242774566486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1</v>
      </c>
      <c r="D70" s="376" t="s">
        <v>178</v>
      </c>
      <c r="E70" s="376">
        <v>0.25</v>
      </c>
      <c r="F70" s="376">
        <f>O17</f>
        <v>0.4</v>
      </c>
      <c r="G70" s="380">
        <v>0.5</v>
      </c>
      <c r="H70" s="376">
        <v>0</v>
      </c>
      <c r="I70" s="377">
        <v>0</v>
      </c>
      <c r="J70" s="376">
        <f>SUM(C70:H70)</f>
        <v>2.15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0.5</v>
      </c>
      <c r="D74" s="382">
        <f>IF(OR(E1="Monday",E1="Friday"),0.25,0.5)</f>
        <v>0.5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8" spans="14:18" ht="36" thickBot="1"/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J101"/>
  <sheetViews>
    <sheetView zoomScale="40" zoomScaleNormal="40" workbookViewId="0">
      <selection activeCell="O13" sqref="O13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3" width="44" style="8" customWidth="1"/>
    <col min="14" max="14" width="50.5" style="8" customWidth="1"/>
    <col min="15" max="15" width="45.1640625" style="8" customWidth="1"/>
    <col min="16" max="16" width="36.83203125" style="8" customWidth="1"/>
    <col min="17" max="17" width="51.1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45964</v>
      </c>
      <c r="E1" s="3" t="str">
        <f>TEXT(D1, "dddd")</f>
        <v>星期一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24" t="s">
        <v>196</v>
      </c>
      <c r="C3" s="21"/>
      <c r="D3" s="24" t="s">
        <v>25</v>
      </c>
      <c r="E3" s="23"/>
      <c r="F3" s="24" t="s">
        <v>299</v>
      </c>
      <c r="G3" s="26"/>
      <c r="H3" s="22" t="s">
        <v>47</v>
      </c>
      <c r="I3" s="26"/>
      <c r="J3" s="24" t="s">
        <v>297</v>
      </c>
      <c r="K3" s="26"/>
      <c r="L3" s="24" t="s">
        <v>301</v>
      </c>
      <c r="M3" s="26"/>
      <c r="N3" s="24" t="s">
        <v>15</v>
      </c>
      <c r="O3" s="26"/>
      <c r="P3" s="24" t="s">
        <v>28</v>
      </c>
      <c r="Q3" s="21"/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24" t="s">
        <v>33</v>
      </c>
      <c r="C4" s="21"/>
      <c r="D4" s="24" t="s">
        <v>34</v>
      </c>
      <c r="E4" s="26"/>
      <c r="F4" s="24" t="s">
        <v>300</v>
      </c>
      <c r="G4" s="26"/>
      <c r="H4" s="24" t="s">
        <v>37</v>
      </c>
      <c r="I4" s="26"/>
      <c r="J4" s="24" t="s">
        <v>298</v>
      </c>
      <c r="K4" s="32"/>
      <c r="L4" s="24" t="s">
        <v>27</v>
      </c>
      <c r="M4" s="32"/>
      <c r="N4" s="24" t="s">
        <v>38</v>
      </c>
      <c r="O4" s="26"/>
      <c r="P4" s="24" t="s">
        <v>50</v>
      </c>
      <c r="Q4" s="26">
        <v>0.75</v>
      </c>
      <c r="R4" s="33" t="s">
        <v>305</v>
      </c>
      <c r="S4" s="34"/>
      <c r="T4" s="34" t="s">
        <v>304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.75" customHeight="1">
      <c r="A5" s="40"/>
      <c r="B5" s="24" t="s">
        <v>22</v>
      </c>
      <c r="C5" s="21"/>
      <c r="D5" s="24" t="s">
        <v>23</v>
      </c>
      <c r="E5" s="21"/>
      <c r="F5" s="24"/>
      <c r="G5" s="26"/>
      <c r="H5" s="24" t="s">
        <v>308</v>
      </c>
      <c r="I5" s="20">
        <v>0.75</v>
      </c>
      <c r="J5" s="24" t="s">
        <v>26</v>
      </c>
      <c r="K5" s="26"/>
      <c r="L5" s="183" t="s">
        <v>315</v>
      </c>
      <c r="M5" s="26">
        <v>0.5</v>
      </c>
      <c r="N5" s="24" t="s">
        <v>302</v>
      </c>
      <c r="O5" s="26"/>
      <c r="P5" s="46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6"/>
      <c r="E6" s="26"/>
      <c r="F6" s="24"/>
      <c r="G6" s="26"/>
      <c r="H6" s="46"/>
      <c r="J6" s="24"/>
      <c r="K6" s="26"/>
      <c r="L6" s="24"/>
      <c r="M6" s="21"/>
      <c r="N6" s="46"/>
      <c r="P6" s="24"/>
      <c r="Q6" s="26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24"/>
      <c r="C7" s="26"/>
      <c r="D7" s="46"/>
      <c r="E7" s="26"/>
      <c r="F7" s="24"/>
      <c r="G7" s="25"/>
      <c r="H7" s="24"/>
      <c r="I7" s="26"/>
      <c r="J7" s="24"/>
      <c r="K7" s="21"/>
      <c r="L7" s="459"/>
      <c r="M7" s="21"/>
      <c r="N7" s="24"/>
      <c r="O7" s="26"/>
      <c r="P7" s="54"/>
      <c r="Q7" s="25"/>
      <c r="R7" s="20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62">
      <c r="A8" s="40"/>
      <c r="B8" s="56"/>
      <c r="C8" s="241"/>
      <c r="D8" s="56"/>
      <c r="E8" s="26"/>
      <c r="F8" s="24"/>
      <c r="G8" s="20"/>
      <c r="H8" s="24"/>
      <c r="I8" s="20"/>
      <c r="J8" s="56"/>
      <c r="K8" s="446" t="s">
        <v>45</v>
      </c>
      <c r="L8" s="460"/>
      <c r="M8" s="446"/>
      <c r="N8" s="24"/>
      <c r="O8" s="26"/>
      <c r="P8" s="56"/>
      <c r="Q8" s="57"/>
      <c r="R8" s="403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59">
      <c r="A9" s="40"/>
      <c r="B9" s="59"/>
      <c r="C9" s="62">
        <v>3</v>
      </c>
      <c r="D9" s="61"/>
      <c r="E9" s="62">
        <v>3</v>
      </c>
      <c r="F9" s="61"/>
      <c r="G9" s="62">
        <v>2</v>
      </c>
      <c r="H9" s="63">
        <v>2.75</v>
      </c>
      <c r="I9" s="62">
        <f>H9-I11</f>
        <v>2.75</v>
      </c>
      <c r="J9" s="61"/>
      <c r="K9" s="62">
        <v>3</v>
      </c>
      <c r="L9" s="61">
        <v>2.5</v>
      </c>
      <c r="M9" s="62">
        <f>L9-M11</f>
        <v>2.5</v>
      </c>
      <c r="N9" s="71">
        <v>3</v>
      </c>
      <c r="O9" s="62">
        <f>N9-O11</f>
        <v>2.6</v>
      </c>
      <c r="P9" s="56">
        <v>1.75</v>
      </c>
      <c r="Q9" s="65">
        <f>P9-Q11</f>
        <v>1.05</v>
      </c>
      <c r="R9" s="40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59">
      <c r="A10" s="40"/>
      <c r="B10" s="69"/>
      <c r="C10" s="449"/>
      <c r="D10" s="71"/>
      <c r="E10" s="64"/>
      <c r="F10" s="72"/>
      <c r="G10" s="73"/>
      <c r="H10" s="74"/>
      <c r="I10" s="64"/>
      <c r="J10" s="69"/>
      <c r="K10" s="453"/>
      <c r="L10" s="461"/>
      <c r="M10" s="453"/>
      <c r="N10" s="24"/>
      <c r="O10" s="20"/>
      <c r="P10" s="56"/>
      <c r="Q10" s="25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411"/>
      <c r="C11" s="414"/>
      <c r="D11" s="83"/>
      <c r="E11" s="450"/>
      <c r="F11" s="85"/>
      <c r="G11" s="414"/>
      <c r="H11" s="415" t="s">
        <v>53</v>
      </c>
      <c r="I11" s="451">
        <v>0</v>
      </c>
      <c r="J11" s="85"/>
      <c r="K11" s="454"/>
      <c r="L11" s="415" t="s">
        <v>53</v>
      </c>
      <c r="M11" s="454">
        <v>0</v>
      </c>
      <c r="N11" s="415" t="s">
        <v>53</v>
      </c>
      <c r="O11" s="451">
        <v>0.4</v>
      </c>
      <c r="P11" s="85" t="s">
        <v>54</v>
      </c>
      <c r="Q11" s="412">
        <v>0.7</v>
      </c>
      <c r="R11" s="473" t="s">
        <v>316</v>
      </c>
      <c r="S11" s="474" t="s">
        <v>320</v>
      </c>
      <c r="T11" s="474" t="s">
        <v>322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438" t="s">
        <v>303</v>
      </c>
      <c r="C12" s="98" t="s">
        <v>213</v>
      </c>
      <c r="D12" s="97" t="s">
        <v>60</v>
      </c>
      <c r="E12" s="98" t="s">
        <v>213</v>
      </c>
      <c r="F12" s="447" t="s">
        <v>327</v>
      </c>
      <c r="G12" s="107" t="s">
        <v>213</v>
      </c>
      <c r="H12" s="397" t="s">
        <v>306</v>
      </c>
      <c r="I12" s="98" t="s">
        <v>213</v>
      </c>
      <c r="J12" s="447" t="s">
        <v>63</v>
      </c>
      <c r="K12" s="107" t="s">
        <v>213</v>
      </c>
      <c r="L12" s="397" t="s">
        <v>339</v>
      </c>
      <c r="M12" s="107" t="s">
        <v>340</v>
      </c>
      <c r="N12" s="97" t="s">
        <v>343</v>
      </c>
      <c r="O12" s="107" t="s">
        <v>213</v>
      </c>
      <c r="P12" s="442" t="s">
        <v>338</v>
      </c>
      <c r="Q12" s="193" t="s">
        <v>213</v>
      </c>
      <c r="R12" s="474" t="s">
        <v>317</v>
      </c>
      <c r="S12" s="474" t="s">
        <v>335</v>
      </c>
      <c r="T12" s="47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444" t="s">
        <v>66</v>
      </c>
      <c r="C13" s="185" t="s">
        <v>72</v>
      </c>
      <c r="D13" s="452" t="s">
        <v>67</v>
      </c>
      <c r="E13" s="185" t="s">
        <v>194</v>
      </c>
      <c r="F13" s="137"/>
      <c r="G13" s="185"/>
      <c r="H13" s="465" t="s">
        <v>341</v>
      </c>
      <c r="I13" s="185" t="s">
        <v>87</v>
      </c>
      <c r="J13" s="465" t="s">
        <v>342</v>
      </c>
      <c r="K13" s="185" t="s">
        <v>347</v>
      </c>
      <c r="L13" s="465" t="s">
        <v>346</v>
      </c>
      <c r="M13" s="185" t="s">
        <v>74</v>
      </c>
      <c r="N13" s="477" t="s">
        <v>345</v>
      </c>
      <c r="O13" s="107" t="s">
        <v>261</v>
      </c>
      <c r="P13" s="465"/>
      <c r="Q13" s="107"/>
      <c r="R13" s="472" t="s">
        <v>326</v>
      </c>
      <c r="S13" s="474" t="s">
        <v>319</v>
      </c>
      <c r="T13" s="55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12.5" customHeight="1">
      <c r="A14" s="96"/>
      <c r="B14" s="444" t="s">
        <v>67</v>
      </c>
      <c r="C14" s="185" t="s">
        <v>248</v>
      </c>
      <c r="D14" s="465" t="s">
        <v>342</v>
      </c>
      <c r="E14" s="20" t="s">
        <v>78</v>
      </c>
      <c r="F14" s="242"/>
      <c r="G14" s="177"/>
      <c r="H14" s="465" t="s">
        <v>346</v>
      </c>
      <c r="I14" s="185" t="s">
        <v>72</v>
      </c>
      <c r="J14" s="242"/>
      <c r="K14" s="107"/>
      <c r="L14" s="475" t="s">
        <v>344</v>
      </c>
      <c r="M14" s="20" t="s">
        <v>36</v>
      </c>
      <c r="N14" s="475"/>
      <c r="O14" s="185"/>
      <c r="P14" s="452"/>
      <c r="Q14" s="20"/>
      <c r="R14" s="472" t="s">
        <v>331</v>
      </c>
      <c r="S14" s="474" t="s">
        <v>334</v>
      </c>
      <c r="T14" s="55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14" customHeight="1">
      <c r="A15" s="40"/>
      <c r="B15" s="444"/>
      <c r="C15" s="466"/>
      <c r="D15" s="421"/>
      <c r="E15" s="185"/>
      <c r="F15" s="465"/>
      <c r="G15" s="185"/>
      <c r="H15" s="467"/>
      <c r="I15" s="358"/>
      <c r="J15" s="46"/>
      <c r="L15" s="72"/>
      <c r="M15" s="466"/>
      <c r="N15" s="444"/>
      <c r="O15" s="466"/>
      <c r="P15" s="72"/>
      <c r="Q15" s="107"/>
      <c r="R15" s="472" t="s">
        <v>321</v>
      </c>
      <c r="S15" s="473" t="s">
        <v>318</v>
      </c>
      <c r="T15" s="55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431"/>
      <c r="D16" s="125"/>
      <c r="E16" s="428"/>
      <c r="F16" s="431"/>
      <c r="H16" s="99"/>
      <c r="I16" s="26"/>
      <c r="J16" s="397"/>
      <c r="K16" s="439"/>
      <c r="L16" s="462"/>
      <c r="M16" s="439"/>
      <c r="N16" s="431"/>
      <c r="P16" s="431"/>
      <c r="Q16" s="52"/>
      <c r="R16" s="471" t="s">
        <v>332</v>
      </c>
      <c r="S16" s="476" t="s">
        <v>333</v>
      </c>
      <c r="T16" s="55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05.75" customHeight="1">
      <c r="A17" s="40"/>
      <c r="B17" s="137"/>
      <c r="C17" s="427"/>
      <c r="D17" s="443" t="s">
        <v>307</v>
      </c>
      <c r="E17" s="432" t="s">
        <v>85</v>
      </c>
      <c r="F17" s="468" t="s">
        <v>249</v>
      </c>
      <c r="G17" s="127" t="s">
        <v>78</v>
      </c>
      <c r="H17" s="469"/>
      <c r="I17" s="140"/>
      <c r="J17" s="24"/>
      <c r="L17" s="24"/>
      <c r="N17" s="469" t="s">
        <v>323</v>
      </c>
      <c r="O17" s="140" t="s">
        <v>74</v>
      </c>
      <c r="P17" s="141" t="s">
        <v>54</v>
      </c>
      <c r="Q17" s="142">
        <v>0.4</v>
      </c>
      <c r="R17" s="678" t="s">
        <v>328</v>
      </c>
      <c r="S17" s="679"/>
      <c r="T17" s="680"/>
      <c r="U17" s="681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75.75" customHeight="1" thickBot="1">
      <c r="A18" s="147"/>
      <c r="B18" s="151">
        <f>B51</f>
        <v>1.6356783919597986</v>
      </c>
      <c r="C18" s="150"/>
      <c r="D18" s="151">
        <f>D51</f>
        <v>1.6356783919597986</v>
      </c>
      <c r="E18" s="149"/>
      <c r="F18" s="151">
        <f>F51</f>
        <v>1.0904522613065326</v>
      </c>
      <c r="G18" s="150"/>
      <c r="H18" s="151">
        <f>H51</f>
        <v>1.4993718592964822</v>
      </c>
      <c r="I18" s="150"/>
      <c r="J18" s="148">
        <f>J51</f>
        <v>1.6356783919597986</v>
      </c>
      <c r="K18" s="150"/>
      <c r="L18" s="148">
        <f>L51</f>
        <v>1.3630653266331658</v>
      </c>
      <c r="M18" s="150"/>
      <c r="N18" s="151">
        <f>N51</f>
        <v>1.4175879396984923</v>
      </c>
      <c r="O18" s="149"/>
      <c r="P18" s="152">
        <f>P51</f>
        <v>0.57248743718592954</v>
      </c>
      <c r="Q18" s="149">
        <f>P18+Q17</f>
        <v>0.97248743718592956</v>
      </c>
      <c r="R18" s="682"/>
      <c r="S18" s="683"/>
      <c r="T18" s="683"/>
      <c r="U18" s="684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318.75" customHeight="1" thickTop="1">
      <c r="A19" s="51"/>
      <c r="B19" s="56" t="s">
        <v>349</v>
      </c>
      <c r="C19" s="107" t="s">
        <v>350</v>
      </c>
      <c r="D19" s="56" t="s">
        <v>349</v>
      </c>
      <c r="E19" s="107" t="s">
        <v>351</v>
      </c>
      <c r="F19" s="56"/>
      <c r="G19" s="158"/>
      <c r="H19" s="56" t="s">
        <v>349</v>
      </c>
      <c r="I19" s="107" t="s">
        <v>352</v>
      </c>
      <c r="J19" s="56" t="s">
        <v>251</v>
      </c>
      <c r="K19" s="189" t="s">
        <v>355</v>
      </c>
      <c r="L19" s="56" t="s">
        <v>349</v>
      </c>
      <c r="M19" s="160" t="s">
        <v>354</v>
      </c>
      <c r="N19" s="56" t="s">
        <v>349</v>
      </c>
      <c r="O19" s="107" t="s">
        <v>353</v>
      </c>
      <c r="P19" s="56"/>
      <c r="Q19" s="107"/>
      <c r="R19" s="685" t="s">
        <v>90</v>
      </c>
      <c r="S19" s="686"/>
      <c r="T19" s="686"/>
      <c r="U19" s="687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107"/>
      <c r="C20" s="107"/>
      <c r="D20" s="56"/>
      <c r="E20" s="107"/>
      <c r="F20" s="72"/>
      <c r="G20" s="160"/>
      <c r="H20" s="159"/>
      <c r="I20" s="107"/>
      <c r="J20" s="56"/>
      <c r="L20" s="56"/>
      <c r="M20" s="107"/>
      <c r="N20" s="56"/>
      <c r="O20" s="107"/>
      <c r="P20" s="56"/>
      <c r="Q20" s="107"/>
      <c r="R20" s="163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159"/>
      <c r="I21" s="107"/>
      <c r="J21" s="24"/>
      <c r="K21" s="160"/>
      <c r="L21" s="56"/>
      <c r="M21" s="107"/>
      <c r="N21" s="24"/>
      <c r="O21" s="107"/>
      <c r="P21" s="24"/>
      <c r="Q21" s="20"/>
      <c r="R21" s="168"/>
      <c r="S21" s="691" t="s">
        <v>93</v>
      </c>
      <c r="T21" s="691"/>
      <c r="U21" s="692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0">
      <c r="A22" s="19"/>
      <c r="D22" s="46"/>
      <c r="F22" s="170"/>
      <c r="G22" s="171"/>
      <c r="H22" s="24"/>
      <c r="I22" s="172"/>
      <c r="J22" s="46"/>
      <c r="L22" s="173" t="s">
        <v>117</v>
      </c>
      <c r="M22" s="172"/>
      <c r="N22" s="174"/>
      <c r="O22" s="175"/>
      <c r="P22" s="176"/>
      <c r="Q22" s="177"/>
      <c r="R22" s="693"/>
      <c r="S22" s="694"/>
      <c r="T22" s="694"/>
      <c r="U22" s="695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96"/>
      <c r="S23" s="697"/>
      <c r="T23" s="697"/>
      <c r="U23" s="698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4.748743718592948</v>
      </c>
      <c r="C30" s="218"/>
      <c r="D30" s="219">
        <f>D44</f>
        <v>5.748743718592948</v>
      </c>
      <c r="E30" s="220"/>
      <c r="F30" s="221">
        <f>F44</f>
        <v>-20.834170854271363</v>
      </c>
      <c r="G30" s="221"/>
      <c r="H30" s="217">
        <f>H44</f>
        <v>8.1030150753768737</v>
      </c>
      <c r="I30" s="218"/>
      <c r="J30" s="217">
        <f>J44</f>
        <v>20.748743718592948</v>
      </c>
      <c r="K30" s="222"/>
      <c r="L30" s="217">
        <f>L44</f>
        <v>3.4572864321607994</v>
      </c>
      <c r="M30" s="222"/>
      <c r="N30" s="217">
        <f>N44</f>
        <v>4.1155778894472235</v>
      </c>
      <c r="O30" s="222"/>
      <c r="P30" s="152">
        <f>P44</f>
        <v>-26.087939698492466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24"/>
      <c r="C31" s="445"/>
      <c r="D31" s="441" t="s">
        <v>12</v>
      </c>
      <c r="E31" s="448" t="s">
        <v>329</v>
      </c>
      <c r="F31" s="419" t="s">
        <v>198</v>
      </c>
      <c r="G31" s="464" t="s">
        <v>99</v>
      </c>
      <c r="H31" s="24"/>
      <c r="I31" s="464"/>
      <c r="J31" s="24"/>
      <c r="K31" s="445"/>
      <c r="L31" s="456"/>
      <c r="M31" s="464"/>
      <c r="N31" s="457"/>
      <c r="O31" s="445"/>
      <c r="P31" s="24" t="s">
        <v>16</v>
      </c>
      <c r="Q31" s="445" t="s">
        <v>330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24"/>
      <c r="C32" s="107"/>
      <c r="D32" s="24"/>
      <c r="E32" s="229"/>
      <c r="F32" s="457"/>
      <c r="G32" s="229"/>
      <c r="H32" s="24"/>
      <c r="I32" s="445"/>
      <c r="J32" s="24"/>
      <c r="K32" s="229"/>
      <c r="L32" s="441"/>
      <c r="M32" s="229"/>
      <c r="N32" s="46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241"/>
      <c r="C33" s="107"/>
      <c r="D33" s="242"/>
      <c r="E33" s="24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336</v>
      </c>
      <c r="T33" s="232" t="s">
        <v>109</v>
      </c>
      <c r="U33" s="247" t="s">
        <v>337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669"/>
      <c r="W40" s="670"/>
      <c r="X40" s="670"/>
      <c r="Y40" s="671"/>
      <c r="Z40" s="302"/>
      <c r="AA40" s="303"/>
    </row>
    <row r="41" spans="1:33" ht="73" thickBot="1">
      <c r="A41" s="304" t="s">
        <v>136</v>
      </c>
      <c r="B41" s="305">
        <f>SUM(B43:T43)</f>
        <v>19.900000000000002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672"/>
      <c r="W41" s="673"/>
      <c r="X41" s="673"/>
      <c r="Y41" s="674"/>
      <c r="Z41" s="302"/>
      <c r="AA41" s="303"/>
    </row>
    <row r="42" spans="1:33" ht="72">
      <c r="A42" s="304" t="s">
        <v>137</v>
      </c>
      <c r="B42" s="294">
        <f>B40/B41</f>
        <v>26.582914572864318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3</v>
      </c>
      <c r="C43" s="295"/>
      <c r="D43" s="296">
        <f>E9</f>
        <v>3</v>
      </c>
      <c r="E43" s="297"/>
      <c r="F43" s="296">
        <f>G9</f>
        <v>2</v>
      </c>
      <c r="G43" s="297"/>
      <c r="H43" s="278">
        <f>I9</f>
        <v>2.75</v>
      </c>
      <c r="I43" s="299"/>
      <c r="J43" s="278">
        <f>K9</f>
        <v>3</v>
      </c>
      <c r="K43" s="299"/>
      <c r="L43" s="278">
        <f>M9</f>
        <v>2.5</v>
      </c>
      <c r="M43" s="299"/>
      <c r="N43" s="278">
        <f>O9</f>
        <v>2.6</v>
      </c>
      <c r="O43" s="299"/>
      <c r="P43" s="311">
        <f>Q9</f>
        <v>1.05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4.748743718592948</v>
      </c>
      <c r="C44" s="295"/>
      <c r="D44" s="318">
        <f>B40/B41*D43-D45</f>
        <v>5.748743718592948</v>
      </c>
      <c r="E44" s="319"/>
      <c r="F44" s="318">
        <f>B40/B41*F43-F45</f>
        <v>-20.834170854271363</v>
      </c>
      <c r="G44" s="320"/>
      <c r="H44" s="321">
        <f>B40/B41*H43-H45</f>
        <v>8.1030150753768737</v>
      </c>
      <c r="I44" s="322"/>
      <c r="J44" s="321">
        <f>B40/B41*J43-J45</f>
        <v>20.748743718592948</v>
      </c>
      <c r="K44" s="322"/>
      <c r="L44" s="321">
        <f>B40/B41*L43-L45</f>
        <v>3.4572864321607994</v>
      </c>
      <c r="M44" s="322"/>
      <c r="N44" s="321">
        <f>B40/B41*N43-N45</f>
        <v>4.1155778894472235</v>
      </c>
      <c r="O44" s="322"/>
      <c r="P44" s="311">
        <f>B40/B41*P43-P45</f>
        <v>-26.087939698492466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313</v>
      </c>
      <c r="K46" s="348">
        <v>59</v>
      </c>
      <c r="L46" s="349" t="s">
        <v>312</v>
      </c>
      <c r="M46" s="348">
        <v>63</v>
      </c>
      <c r="N46" s="349" t="s">
        <v>311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10.85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48.755760368663594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79.748743718592948</v>
      </c>
      <c r="C50" s="354"/>
      <c r="D50" s="354">
        <f>B42*D43</f>
        <v>79.748743718592948</v>
      </c>
      <c r="E50" s="354"/>
      <c r="F50" s="354">
        <f>B42*F43</f>
        <v>53.165829145728637</v>
      </c>
      <c r="G50" s="354"/>
      <c r="H50" s="359">
        <f>B42*H43</f>
        <v>73.103015075376874</v>
      </c>
      <c r="I50" s="354"/>
      <c r="J50" s="354">
        <f>B42*J43</f>
        <v>79.748743718592948</v>
      </c>
      <c r="K50" s="354"/>
      <c r="L50" s="354">
        <f>B42*L43</f>
        <v>66.457286432160799</v>
      </c>
      <c r="M50" s="354"/>
      <c r="N50" s="359">
        <f>B42*N43</f>
        <v>69.115577889447223</v>
      </c>
      <c r="O50" s="354"/>
      <c r="P50" s="354">
        <f>B42*P43</f>
        <v>27.912060301507534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1.6356783919597986</v>
      </c>
      <c r="C51" s="354"/>
      <c r="D51" s="354">
        <f>D50/B49</f>
        <v>1.6356783919597986</v>
      </c>
      <c r="E51" s="354"/>
      <c r="F51" s="354">
        <f>F50/B49</f>
        <v>1.0904522613065326</v>
      </c>
      <c r="G51" s="354"/>
      <c r="H51" s="354">
        <f>H50/B49</f>
        <v>1.4993718592964822</v>
      </c>
      <c r="I51" s="354"/>
      <c r="J51" s="354">
        <f>J50/B49</f>
        <v>1.6356783919597986</v>
      </c>
      <c r="K51" s="354"/>
      <c r="L51" s="354">
        <f>L50/B49</f>
        <v>1.3630653266331658</v>
      </c>
      <c r="M51" s="354"/>
      <c r="N51" s="359">
        <f>N50/B49</f>
        <v>1.4175879396984923</v>
      </c>
      <c r="O51" s="354"/>
      <c r="P51" s="354">
        <f>P50/B49</f>
        <v>0.57248743718592954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324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325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0.25</v>
      </c>
      <c r="F69" s="376">
        <f>Q17</f>
        <v>0.4</v>
      </c>
      <c r="G69" s="380">
        <v>1.75</v>
      </c>
      <c r="H69" s="376">
        <v>0</v>
      </c>
      <c r="I69" s="377">
        <v>0</v>
      </c>
      <c r="J69" s="376">
        <f>SUM(C69:H69)</f>
        <v>3.15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J101"/>
  <sheetViews>
    <sheetView zoomScale="50" zoomScaleNormal="50" workbookViewId="0">
      <selection activeCell="H12" sqref="H12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3" width="44" style="8" customWidth="1"/>
    <col min="14" max="14" width="50.5" style="8" customWidth="1"/>
    <col min="15" max="15" width="45.1640625" style="8" customWidth="1"/>
    <col min="16" max="16" width="36.83203125" style="8" customWidth="1"/>
    <col min="17" max="17" width="51.1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45965</v>
      </c>
      <c r="E1" s="3" t="str">
        <f>TEXT(D1, "dddd")</f>
        <v>星期二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24" t="s">
        <v>196</v>
      </c>
      <c r="C3" s="21"/>
      <c r="D3" s="24" t="s">
        <v>25</v>
      </c>
      <c r="E3" s="23"/>
      <c r="F3" s="24" t="s">
        <v>299</v>
      </c>
      <c r="G3" s="26"/>
      <c r="H3" s="22" t="s">
        <v>47</v>
      </c>
      <c r="I3" s="26"/>
      <c r="J3" s="24" t="s">
        <v>297</v>
      </c>
      <c r="K3" s="26"/>
      <c r="L3" s="24" t="s">
        <v>301</v>
      </c>
      <c r="M3" s="26"/>
      <c r="N3" s="24" t="s">
        <v>15</v>
      </c>
      <c r="O3" s="26"/>
      <c r="P3" s="24" t="s">
        <v>28</v>
      </c>
      <c r="Q3" s="21"/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24" t="s">
        <v>33</v>
      </c>
      <c r="C4" s="21"/>
      <c r="D4" s="24" t="s">
        <v>34</v>
      </c>
      <c r="E4" s="26"/>
      <c r="F4" s="24" t="s">
        <v>300</v>
      </c>
      <c r="G4" s="26"/>
      <c r="H4" s="24" t="s">
        <v>37</v>
      </c>
      <c r="I4" s="26"/>
      <c r="J4" s="24" t="s">
        <v>298</v>
      </c>
      <c r="K4" s="32"/>
      <c r="L4" s="24" t="s">
        <v>27</v>
      </c>
      <c r="M4" s="32"/>
      <c r="N4" s="24" t="s">
        <v>38</v>
      </c>
      <c r="O4" s="26"/>
      <c r="P4" s="24" t="s">
        <v>50</v>
      </c>
      <c r="Q4" s="26">
        <v>0.75</v>
      </c>
      <c r="R4" s="33" t="s">
        <v>305</v>
      </c>
      <c r="S4" s="34"/>
      <c r="T4" s="34" t="s">
        <v>304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.75" customHeight="1">
      <c r="A5" s="40"/>
      <c r="B5" s="24" t="s">
        <v>22</v>
      </c>
      <c r="C5" s="21"/>
      <c r="D5" s="24" t="s">
        <v>23</v>
      </c>
      <c r="E5" s="21"/>
      <c r="F5" s="24"/>
      <c r="G5" s="26"/>
      <c r="H5" s="24" t="s">
        <v>308</v>
      </c>
      <c r="I5" s="20"/>
      <c r="J5" s="24" t="s">
        <v>26</v>
      </c>
      <c r="K5" s="26"/>
      <c r="L5" s="183" t="s">
        <v>315</v>
      </c>
      <c r="M5" s="26">
        <v>0.5</v>
      </c>
      <c r="N5" s="24" t="s">
        <v>302</v>
      </c>
      <c r="O5" s="26"/>
      <c r="P5" s="46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6"/>
      <c r="E6" s="26"/>
      <c r="F6" s="24"/>
      <c r="G6" s="26"/>
      <c r="H6" s="46"/>
      <c r="J6" s="24"/>
      <c r="K6" s="26"/>
      <c r="L6" s="24"/>
      <c r="M6" s="21"/>
      <c r="N6" s="46"/>
      <c r="P6" s="24"/>
      <c r="Q6" s="26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24"/>
      <c r="C7" s="26"/>
      <c r="D7" s="46"/>
      <c r="E7" s="26"/>
      <c r="F7" s="24"/>
      <c r="G7" s="25"/>
      <c r="H7" s="24"/>
      <c r="I7" s="26"/>
      <c r="J7" s="24"/>
      <c r="K7" s="21"/>
      <c r="L7" s="459"/>
      <c r="M7" s="21"/>
      <c r="N7" s="24"/>
      <c r="O7" s="26"/>
      <c r="P7" s="54"/>
      <c r="Q7" s="25"/>
      <c r="R7" s="20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62">
      <c r="A8" s="40"/>
      <c r="B8" s="56"/>
      <c r="C8" s="241"/>
      <c r="D8" s="56"/>
      <c r="E8" s="26"/>
      <c r="F8" s="24"/>
      <c r="G8" s="20"/>
      <c r="H8" s="24"/>
      <c r="I8" s="20"/>
      <c r="J8" s="56"/>
      <c r="K8" s="446" t="s">
        <v>45</v>
      </c>
      <c r="L8" s="460"/>
      <c r="M8" s="446"/>
      <c r="N8" s="24"/>
      <c r="O8" s="26"/>
      <c r="P8" s="56"/>
      <c r="Q8" s="57"/>
      <c r="R8" s="403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59">
      <c r="A9" s="40"/>
      <c r="B9" s="59"/>
      <c r="C9" s="62">
        <v>3</v>
      </c>
      <c r="D9" s="61"/>
      <c r="E9" s="62">
        <v>3</v>
      </c>
      <c r="F9" s="61"/>
      <c r="G9" s="62">
        <v>2</v>
      </c>
      <c r="H9" s="63">
        <v>3</v>
      </c>
      <c r="I9" s="62">
        <f>H9-I11</f>
        <v>2.6</v>
      </c>
      <c r="J9" s="61"/>
      <c r="K9" s="62">
        <v>3</v>
      </c>
      <c r="L9" s="61">
        <v>2.5</v>
      </c>
      <c r="M9" s="62">
        <f>L9-M11</f>
        <v>2.5</v>
      </c>
      <c r="N9" s="71">
        <v>3</v>
      </c>
      <c r="O9" s="62">
        <f>N9-O11</f>
        <v>3</v>
      </c>
      <c r="P9" s="56">
        <v>1.75</v>
      </c>
      <c r="Q9" s="65">
        <f>P9-Q11</f>
        <v>1.05</v>
      </c>
      <c r="R9" s="40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59">
      <c r="A10" s="40"/>
      <c r="B10" s="69"/>
      <c r="C10" s="449"/>
      <c r="D10" s="71"/>
      <c r="E10" s="64"/>
      <c r="F10" s="72"/>
      <c r="G10" s="73"/>
      <c r="H10" s="74"/>
      <c r="I10" s="64"/>
      <c r="J10" s="69"/>
      <c r="K10" s="453"/>
      <c r="L10" s="461"/>
      <c r="M10" s="453"/>
      <c r="N10" s="24"/>
      <c r="O10" s="20"/>
      <c r="P10" s="56"/>
      <c r="Q10" s="25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411"/>
      <c r="C11" s="414"/>
      <c r="D11" s="83"/>
      <c r="E11" s="450"/>
      <c r="F11" s="85"/>
      <c r="G11" s="414"/>
      <c r="H11" s="415" t="s">
        <v>53</v>
      </c>
      <c r="I11" s="451">
        <v>0.4</v>
      </c>
      <c r="J11" s="85"/>
      <c r="K11" s="454"/>
      <c r="L11" s="415" t="s">
        <v>53</v>
      </c>
      <c r="M11" s="454">
        <v>0</v>
      </c>
      <c r="N11" s="415" t="s">
        <v>53</v>
      </c>
      <c r="O11" s="451">
        <v>0</v>
      </c>
      <c r="P11" s="85" t="s">
        <v>54</v>
      </c>
      <c r="Q11" s="412">
        <v>0.7</v>
      </c>
      <c r="R11" s="473" t="s">
        <v>316</v>
      </c>
      <c r="S11" s="474" t="s">
        <v>320</v>
      </c>
      <c r="T11" s="474" t="s">
        <v>322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438" t="s">
        <v>303</v>
      </c>
      <c r="C12" s="98" t="s">
        <v>213</v>
      </c>
      <c r="D12" s="97" t="s">
        <v>60</v>
      </c>
      <c r="E12" s="98" t="s">
        <v>213</v>
      </c>
      <c r="F12" s="447" t="s">
        <v>327</v>
      </c>
      <c r="G12" s="107" t="s">
        <v>213</v>
      </c>
      <c r="H12" s="438" t="s">
        <v>306</v>
      </c>
      <c r="I12" s="98" t="s">
        <v>213</v>
      </c>
      <c r="J12" s="447" t="s">
        <v>63</v>
      </c>
      <c r="K12" s="107" t="s">
        <v>213</v>
      </c>
      <c r="L12" s="397" t="s">
        <v>219</v>
      </c>
      <c r="M12" s="107" t="s">
        <v>213</v>
      </c>
      <c r="N12" s="97" t="s">
        <v>64</v>
      </c>
      <c r="O12" s="107" t="s">
        <v>213</v>
      </c>
      <c r="P12" s="442" t="s">
        <v>263</v>
      </c>
      <c r="Q12" s="193" t="s">
        <v>213</v>
      </c>
      <c r="R12" s="474" t="s">
        <v>317</v>
      </c>
      <c r="S12" s="474" t="s">
        <v>358</v>
      </c>
      <c r="T12" s="47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475" t="s">
        <v>363</v>
      </c>
      <c r="C13" s="185" t="s">
        <v>364</v>
      </c>
      <c r="D13" s="452" t="s">
        <v>366</v>
      </c>
      <c r="E13" s="107" t="s">
        <v>368</v>
      </c>
      <c r="F13" s="137" t="s">
        <v>367</v>
      </c>
      <c r="G13" s="185" t="s">
        <v>365</v>
      </c>
      <c r="H13" s="465" t="s">
        <v>359</v>
      </c>
      <c r="I13" s="185" t="s">
        <v>74</v>
      </c>
      <c r="J13" s="137" t="s">
        <v>367</v>
      </c>
      <c r="K13" s="107" t="s">
        <v>39</v>
      </c>
      <c r="L13" s="475" t="s">
        <v>361</v>
      </c>
      <c r="M13" s="185" t="s">
        <v>362</v>
      </c>
      <c r="N13" s="475" t="s">
        <v>361</v>
      </c>
      <c r="O13" s="185" t="s">
        <v>371</v>
      </c>
      <c r="P13" s="465"/>
      <c r="Q13" s="107"/>
      <c r="R13" s="472" t="s">
        <v>326</v>
      </c>
      <c r="S13" s="474" t="s">
        <v>319</v>
      </c>
      <c r="T13" s="55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12.5" customHeight="1">
      <c r="A14" s="96"/>
      <c r="B14" s="465"/>
      <c r="C14" s="185"/>
      <c r="D14" s="475" t="s">
        <v>67</v>
      </c>
      <c r="E14" s="185" t="s">
        <v>72</v>
      </c>
      <c r="F14" s="242"/>
      <c r="G14" s="177"/>
      <c r="H14" s="137" t="s">
        <v>367</v>
      </c>
      <c r="I14" s="185" t="s">
        <v>78</v>
      </c>
      <c r="J14" s="137" t="s">
        <v>370</v>
      </c>
      <c r="K14" s="107" t="s">
        <v>78</v>
      </c>
      <c r="L14" s="465" t="s">
        <v>359</v>
      </c>
      <c r="M14" s="20" t="s">
        <v>365</v>
      </c>
      <c r="N14" s="465"/>
      <c r="O14" s="185"/>
      <c r="P14" s="452"/>
      <c r="Q14" s="20"/>
      <c r="R14" s="472" t="s">
        <v>331</v>
      </c>
      <c r="S14" s="474" t="s">
        <v>356</v>
      </c>
      <c r="T14" s="55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14" customHeight="1">
      <c r="A15" s="40"/>
      <c r="B15" s="444"/>
      <c r="C15" s="466"/>
      <c r="D15" s="421"/>
      <c r="E15" s="185"/>
      <c r="F15" s="465"/>
      <c r="G15" s="185"/>
      <c r="H15" s="467"/>
      <c r="I15" s="358"/>
      <c r="J15" s="46"/>
      <c r="L15" s="72"/>
      <c r="M15" s="466"/>
      <c r="N15" s="444"/>
      <c r="O15" s="466"/>
      <c r="P15" s="72"/>
      <c r="Q15" s="107"/>
      <c r="R15" s="472" t="s">
        <v>321</v>
      </c>
      <c r="S15" s="473" t="s">
        <v>318</v>
      </c>
      <c r="T15" s="55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431"/>
      <c r="D16" s="125"/>
      <c r="E16" s="428"/>
      <c r="F16" s="431"/>
      <c r="H16" s="99"/>
      <c r="I16" s="26"/>
      <c r="J16" s="397"/>
      <c r="K16" s="439"/>
      <c r="L16" s="462"/>
      <c r="M16" s="439"/>
      <c r="N16" s="431"/>
      <c r="P16" s="431"/>
      <c r="Q16" s="52"/>
      <c r="R16" s="471" t="s">
        <v>332</v>
      </c>
      <c r="S16" s="470" t="s">
        <v>357</v>
      </c>
      <c r="T16" s="55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05.75" customHeight="1">
      <c r="A17" s="40"/>
      <c r="B17" s="137"/>
      <c r="C17" s="427"/>
      <c r="D17" s="443" t="s">
        <v>307</v>
      </c>
      <c r="E17" s="432" t="s">
        <v>360</v>
      </c>
      <c r="F17" s="468" t="s">
        <v>249</v>
      </c>
      <c r="G17" s="127" t="s">
        <v>78</v>
      </c>
      <c r="H17" s="469" t="s">
        <v>369</v>
      </c>
      <c r="I17" s="140" t="s">
        <v>87</v>
      </c>
      <c r="J17" s="24"/>
      <c r="L17" s="24"/>
      <c r="N17" s="469"/>
      <c r="P17" s="141" t="s">
        <v>54</v>
      </c>
      <c r="Q17" s="142">
        <v>0.4</v>
      </c>
      <c r="R17" s="678" t="s">
        <v>348</v>
      </c>
      <c r="S17" s="679"/>
      <c r="T17" s="680"/>
      <c r="U17" s="681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75.75" customHeight="1" thickBot="1">
      <c r="A18" s="147"/>
      <c r="B18" s="151">
        <f>B51</f>
        <v>1.7642679900744416</v>
      </c>
      <c r="C18" s="150"/>
      <c r="D18" s="151">
        <f>D51</f>
        <v>1.7642679900744416</v>
      </c>
      <c r="E18" s="149"/>
      <c r="F18" s="151">
        <f>F51</f>
        <v>1.1761786600496276</v>
      </c>
      <c r="G18" s="150"/>
      <c r="H18" s="151">
        <f>H51</f>
        <v>1.5290322580645159</v>
      </c>
      <c r="I18" s="150"/>
      <c r="J18" s="148">
        <f>J51</f>
        <v>1.7642679900744416</v>
      </c>
      <c r="K18" s="150"/>
      <c r="L18" s="148">
        <f>L51</f>
        <v>1.4702233250620345</v>
      </c>
      <c r="M18" s="150"/>
      <c r="N18" s="151">
        <f>N51</f>
        <v>1.7642679900744416</v>
      </c>
      <c r="O18" s="149"/>
      <c r="P18" s="152">
        <f>P51</f>
        <v>0.61749379652605452</v>
      </c>
      <c r="Q18" s="149">
        <f>P18+Q17</f>
        <v>1.0174937965260544</v>
      </c>
      <c r="R18" s="682"/>
      <c r="S18" s="683"/>
      <c r="T18" s="683"/>
      <c r="U18" s="684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318.75" customHeight="1" thickTop="1">
      <c r="A19" s="51"/>
      <c r="B19" s="56"/>
      <c r="C19" s="107"/>
      <c r="D19" s="56"/>
      <c r="E19" s="107"/>
      <c r="F19" s="56"/>
      <c r="G19" s="158"/>
      <c r="H19" s="56" t="s">
        <v>373</v>
      </c>
      <c r="I19" s="107" t="s">
        <v>375</v>
      </c>
      <c r="J19" s="56" t="s">
        <v>372</v>
      </c>
      <c r="K19" s="107" t="s">
        <v>374</v>
      </c>
      <c r="L19" s="463" t="s">
        <v>349</v>
      </c>
      <c r="M19" s="160" t="s">
        <v>377</v>
      </c>
      <c r="N19" s="56" t="s">
        <v>349</v>
      </c>
      <c r="O19" s="107" t="s">
        <v>378</v>
      </c>
      <c r="P19" s="56"/>
      <c r="Q19" s="107"/>
      <c r="R19" s="685" t="s">
        <v>90</v>
      </c>
      <c r="S19" s="686"/>
      <c r="T19" s="686"/>
      <c r="U19" s="687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107"/>
      <c r="C20" s="107"/>
      <c r="D20" s="56"/>
      <c r="E20" s="107"/>
      <c r="F20" s="72"/>
      <c r="G20" s="160"/>
      <c r="H20" s="159"/>
      <c r="I20" s="107"/>
      <c r="J20" s="56" t="s">
        <v>373</v>
      </c>
      <c r="K20" s="107" t="s">
        <v>376</v>
      </c>
      <c r="L20" s="56"/>
      <c r="M20" s="107"/>
      <c r="N20" s="56"/>
      <c r="O20" s="107"/>
      <c r="P20" s="56"/>
      <c r="Q20" s="107"/>
      <c r="R20" s="163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159"/>
      <c r="I21" s="107"/>
      <c r="J21" s="24"/>
      <c r="K21" s="160"/>
      <c r="L21" s="56"/>
      <c r="M21" s="107"/>
      <c r="N21" s="24"/>
      <c r="O21" s="107"/>
      <c r="P21" s="24"/>
      <c r="Q21" s="20"/>
      <c r="R21" s="168"/>
      <c r="S21" s="691" t="s">
        <v>93</v>
      </c>
      <c r="T21" s="691"/>
      <c r="U21" s="692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0">
      <c r="A22" s="19"/>
      <c r="D22" s="46"/>
      <c r="F22" s="170"/>
      <c r="G22" s="171"/>
      <c r="H22" s="24"/>
      <c r="I22" s="172"/>
      <c r="J22" s="46"/>
      <c r="L22" s="173" t="s">
        <v>117</v>
      </c>
      <c r="M22" s="172"/>
      <c r="N22" s="174"/>
      <c r="O22" s="175"/>
      <c r="P22" s="176"/>
      <c r="Q22" s="177"/>
      <c r="R22" s="693"/>
      <c r="S22" s="694"/>
      <c r="T22" s="694"/>
      <c r="U22" s="695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96"/>
      <c r="S23" s="697"/>
      <c r="T23" s="697"/>
      <c r="U23" s="698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3.7593052109181144</v>
      </c>
      <c r="C30" s="218"/>
      <c r="D30" s="219">
        <f>D44</f>
        <v>4.7593052109181144</v>
      </c>
      <c r="E30" s="220"/>
      <c r="F30" s="221">
        <f>F44</f>
        <v>-21.493796526054595</v>
      </c>
      <c r="G30" s="221"/>
      <c r="H30" s="217">
        <f>H44</f>
        <v>3.2580645161290249</v>
      </c>
      <c r="I30" s="218"/>
      <c r="J30" s="217">
        <f>J44</f>
        <v>19.759305210918114</v>
      </c>
      <c r="K30" s="222"/>
      <c r="L30" s="217">
        <f>L44</f>
        <v>2.6327543424317525</v>
      </c>
      <c r="M30" s="222"/>
      <c r="N30" s="217">
        <f>N44</f>
        <v>13.759305210918114</v>
      </c>
      <c r="O30" s="222"/>
      <c r="P30" s="152">
        <f>P44</f>
        <v>-26.434243176178661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24"/>
      <c r="C31" s="445"/>
      <c r="D31" s="441" t="s">
        <v>12</v>
      </c>
      <c r="E31" s="448" t="s">
        <v>329</v>
      </c>
      <c r="F31" s="419" t="s">
        <v>198</v>
      </c>
      <c r="G31" s="464" t="s">
        <v>99</v>
      </c>
      <c r="H31" s="24"/>
      <c r="I31" s="464"/>
      <c r="J31" s="24"/>
      <c r="K31" s="445"/>
      <c r="L31" s="456"/>
      <c r="M31" s="464"/>
      <c r="N31" s="457"/>
      <c r="O31" s="445"/>
      <c r="P31" s="24" t="s">
        <v>16</v>
      </c>
      <c r="Q31" s="445" t="s">
        <v>330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24"/>
      <c r="C32" s="107"/>
      <c r="D32" s="24"/>
      <c r="E32" s="229"/>
      <c r="F32" s="457"/>
      <c r="G32" s="229"/>
      <c r="H32" s="24"/>
      <c r="I32" s="445"/>
      <c r="J32" s="24"/>
      <c r="K32" s="229"/>
      <c r="L32" s="441"/>
      <c r="M32" s="229"/>
      <c r="N32" s="46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241"/>
      <c r="C33" s="107"/>
      <c r="D33" s="242"/>
      <c r="E33" s="24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197</v>
      </c>
      <c r="T33" s="232" t="s">
        <v>109</v>
      </c>
      <c r="U33" s="247" t="s">
        <v>110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669"/>
      <c r="W40" s="670"/>
      <c r="X40" s="670"/>
      <c r="Y40" s="671"/>
      <c r="Z40" s="302"/>
      <c r="AA40" s="303"/>
    </row>
    <row r="41" spans="1:33" ht="73" thickBot="1">
      <c r="A41" s="304" t="s">
        <v>136</v>
      </c>
      <c r="B41" s="305">
        <f>SUM(B43:T43)</f>
        <v>20.150000000000002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672"/>
      <c r="W41" s="673"/>
      <c r="X41" s="673"/>
      <c r="Y41" s="674"/>
      <c r="Z41" s="302"/>
      <c r="AA41" s="303"/>
    </row>
    <row r="42" spans="1:33" ht="72">
      <c r="A42" s="304" t="s">
        <v>137</v>
      </c>
      <c r="B42" s="294">
        <f>B40/B41</f>
        <v>26.253101736972702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3</v>
      </c>
      <c r="C43" s="295"/>
      <c r="D43" s="296">
        <f>E9</f>
        <v>3</v>
      </c>
      <c r="E43" s="297"/>
      <c r="F43" s="296">
        <f>G9</f>
        <v>2</v>
      </c>
      <c r="G43" s="297"/>
      <c r="H43" s="278">
        <f>I9</f>
        <v>2.6</v>
      </c>
      <c r="I43" s="299"/>
      <c r="J43" s="278">
        <f>K9</f>
        <v>3</v>
      </c>
      <c r="K43" s="299"/>
      <c r="L43" s="278">
        <f>M9</f>
        <v>2.5</v>
      </c>
      <c r="M43" s="299"/>
      <c r="N43" s="278">
        <f>O9</f>
        <v>3</v>
      </c>
      <c r="O43" s="299"/>
      <c r="P43" s="311">
        <f>Q9</f>
        <v>1.05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3.7593052109181144</v>
      </c>
      <c r="C44" s="295"/>
      <c r="D44" s="318">
        <f>B40/B41*D43-D45</f>
        <v>4.7593052109181144</v>
      </c>
      <c r="E44" s="319"/>
      <c r="F44" s="318">
        <f>B40/B41*F43-F45</f>
        <v>-21.493796526054595</v>
      </c>
      <c r="G44" s="320"/>
      <c r="H44" s="321">
        <f>B40/B41*H43-H45</f>
        <v>3.2580645161290249</v>
      </c>
      <c r="I44" s="322"/>
      <c r="J44" s="321">
        <f>B40/B41*J43-J45</f>
        <v>19.759305210918114</v>
      </c>
      <c r="K44" s="322"/>
      <c r="L44" s="321">
        <f>B40/B41*L43-L45</f>
        <v>2.6327543424317525</v>
      </c>
      <c r="M44" s="322"/>
      <c r="N44" s="321">
        <f>B40/B41*N43-N45</f>
        <v>13.759305210918114</v>
      </c>
      <c r="O44" s="322"/>
      <c r="P44" s="311">
        <f>B40/B41*P43-P45</f>
        <v>-26.434243176178661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313</v>
      </c>
      <c r="K46" s="348">
        <v>59</v>
      </c>
      <c r="L46" s="349" t="s">
        <v>312</v>
      </c>
      <c r="M46" s="348">
        <v>63</v>
      </c>
      <c r="N46" s="349" t="s">
        <v>311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11.85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44.641350210970465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78.759305210918114</v>
      </c>
      <c r="C50" s="354"/>
      <c r="D50" s="354">
        <f>B42*D43</f>
        <v>78.759305210918114</v>
      </c>
      <c r="E50" s="354"/>
      <c r="F50" s="354">
        <f>B42*F43</f>
        <v>52.506203473945405</v>
      </c>
      <c r="G50" s="354"/>
      <c r="H50" s="359">
        <f>B42*H43</f>
        <v>68.258064516129025</v>
      </c>
      <c r="I50" s="354"/>
      <c r="J50" s="354">
        <f>B42*J43</f>
        <v>78.759305210918114</v>
      </c>
      <c r="K50" s="354"/>
      <c r="L50" s="354">
        <f>B42*L43</f>
        <v>65.632754342431753</v>
      </c>
      <c r="M50" s="354"/>
      <c r="N50" s="359">
        <f>B42*N43</f>
        <v>78.759305210918114</v>
      </c>
      <c r="O50" s="354"/>
      <c r="P50" s="354">
        <f>B42*P43</f>
        <v>27.565756823821339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1.7642679900744416</v>
      </c>
      <c r="C51" s="354"/>
      <c r="D51" s="354">
        <f>D50/B49</f>
        <v>1.7642679900744416</v>
      </c>
      <c r="E51" s="354"/>
      <c r="F51" s="354">
        <f>F50/B49</f>
        <v>1.1761786600496276</v>
      </c>
      <c r="G51" s="354"/>
      <c r="H51" s="354">
        <f>H50/B49</f>
        <v>1.5290322580645159</v>
      </c>
      <c r="I51" s="354"/>
      <c r="J51" s="354">
        <f>J50/B49</f>
        <v>1.7642679900744416</v>
      </c>
      <c r="K51" s="354"/>
      <c r="L51" s="354">
        <f>L50/B49</f>
        <v>1.4702233250620345</v>
      </c>
      <c r="M51" s="354"/>
      <c r="N51" s="359">
        <f>N50/B49</f>
        <v>1.7642679900744416</v>
      </c>
      <c r="O51" s="354"/>
      <c r="P51" s="354">
        <f>P50/B49</f>
        <v>0.61749379652605452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324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325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0.5</v>
      </c>
      <c r="D69" s="376" t="s">
        <v>178</v>
      </c>
      <c r="E69" s="376">
        <v>0.25</v>
      </c>
      <c r="F69" s="376">
        <f>Q17</f>
        <v>0.4</v>
      </c>
      <c r="G69" s="380">
        <v>1</v>
      </c>
      <c r="H69" s="376">
        <v>0</v>
      </c>
      <c r="I69" s="377">
        <v>0</v>
      </c>
      <c r="J69" s="376">
        <f>SUM(C69:H69)</f>
        <v>2.15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J103"/>
  <sheetViews>
    <sheetView tabSelected="1" zoomScale="40" zoomScaleNormal="40" workbookViewId="0">
      <selection activeCell="J20" sqref="J20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6.5" style="8" customWidth="1"/>
    <col min="12" max="13" width="44" style="8" customWidth="1"/>
    <col min="14" max="14" width="50.5" style="8" customWidth="1"/>
    <col min="15" max="15" width="45.1640625" style="8" customWidth="1"/>
    <col min="16" max="16" width="36.83203125" style="8" customWidth="1"/>
    <col min="17" max="17" width="51.1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45966</v>
      </c>
      <c r="E1" s="3" t="str">
        <f>TEXT(D1, "dddd")</f>
        <v>Wednesday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24" t="s">
        <v>196</v>
      </c>
      <c r="C3" s="21">
        <v>0.6</v>
      </c>
      <c r="D3" s="24" t="s">
        <v>25</v>
      </c>
      <c r="E3" s="23"/>
      <c r="F3" s="24" t="s">
        <v>299</v>
      </c>
      <c r="G3" s="26"/>
      <c r="H3" s="22" t="s">
        <v>47</v>
      </c>
      <c r="I3" s="26"/>
      <c r="J3" s="24" t="s">
        <v>297</v>
      </c>
      <c r="K3" s="26"/>
      <c r="L3" s="24" t="s">
        <v>301</v>
      </c>
      <c r="M3" s="26"/>
      <c r="N3" s="24" t="s">
        <v>15</v>
      </c>
      <c r="O3" s="26"/>
      <c r="P3" s="24" t="s">
        <v>28</v>
      </c>
      <c r="Q3" s="21"/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24" t="s">
        <v>33</v>
      </c>
      <c r="C4" s="21"/>
      <c r="D4" s="24" t="s">
        <v>34</v>
      </c>
      <c r="E4" s="26"/>
      <c r="F4" s="24" t="s">
        <v>300</v>
      </c>
      <c r="G4" s="26"/>
      <c r="H4" s="24" t="s">
        <v>37</v>
      </c>
      <c r="I4" s="26"/>
      <c r="J4" s="24" t="s">
        <v>298</v>
      </c>
      <c r="K4" s="32"/>
      <c r="L4" s="24" t="s">
        <v>27</v>
      </c>
      <c r="M4" s="32"/>
      <c r="N4" s="24" t="s">
        <v>38</v>
      </c>
      <c r="O4" s="26"/>
      <c r="P4" s="24" t="s">
        <v>50</v>
      </c>
      <c r="Q4" s="26">
        <v>0.75</v>
      </c>
      <c r="R4" s="33" t="s">
        <v>305</v>
      </c>
      <c r="S4" s="34"/>
      <c r="T4" s="34" t="s">
        <v>304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.75" customHeight="1">
      <c r="A5" s="40"/>
      <c r="B5" s="24" t="s">
        <v>22</v>
      </c>
      <c r="C5" s="21"/>
      <c r="D5" s="24" t="s">
        <v>23</v>
      </c>
      <c r="E5" s="21"/>
      <c r="F5" s="24"/>
      <c r="G5" s="26"/>
      <c r="H5" s="24" t="s">
        <v>308</v>
      </c>
      <c r="I5" s="20"/>
      <c r="J5" s="24" t="s">
        <v>26</v>
      </c>
      <c r="K5" s="26"/>
      <c r="L5" s="183" t="s">
        <v>315</v>
      </c>
      <c r="M5" s="26">
        <v>0.75</v>
      </c>
      <c r="N5" s="24" t="s">
        <v>302</v>
      </c>
      <c r="O5" s="26"/>
      <c r="P5" s="46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6"/>
      <c r="E6" s="26"/>
      <c r="F6" s="24"/>
      <c r="G6" s="26"/>
      <c r="H6" s="46"/>
      <c r="J6" s="24"/>
      <c r="K6" s="26"/>
      <c r="L6" s="24"/>
      <c r="M6" s="21"/>
      <c r="N6" s="46"/>
      <c r="P6" s="24"/>
      <c r="Q6" s="26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24"/>
      <c r="C7" s="26"/>
      <c r="D7" s="46"/>
      <c r="E7" s="26"/>
      <c r="F7" s="24"/>
      <c r="G7" s="25"/>
      <c r="H7" s="24"/>
      <c r="I7" s="26"/>
      <c r="J7" s="24"/>
      <c r="K7" s="21"/>
      <c r="L7" s="459"/>
      <c r="M7" s="21"/>
      <c r="N7" s="24"/>
      <c r="O7" s="26"/>
      <c r="P7" s="54"/>
      <c r="Q7" s="25"/>
      <c r="R7" s="20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62">
      <c r="A8" s="40"/>
      <c r="B8" s="56"/>
      <c r="C8" s="241"/>
      <c r="D8" s="56"/>
      <c r="E8" s="26"/>
      <c r="F8" s="24"/>
      <c r="G8" s="20"/>
      <c r="H8" s="24"/>
      <c r="I8" s="20"/>
      <c r="J8" s="56"/>
      <c r="K8" s="446" t="s">
        <v>45</v>
      </c>
      <c r="L8" s="460"/>
      <c r="M8" s="446"/>
      <c r="N8" s="24"/>
      <c r="O8" s="26"/>
      <c r="P8" s="56"/>
      <c r="Q8" s="57"/>
      <c r="R8" s="403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59">
      <c r="A9" s="40"/>
      <c r="B9" s="59"/>
      <c r="C9" s="62">
        <v>2.6</v>
      </c>
      <c r="D9" s="61"/>
      <c r="E9" s="62">
        <v>3</v>
      </c>
      <c r="F9" s="61"/>
      <c r="G9" s="62">
        <v>2</v>
      </c>
      <c r="H9" s="63">
        <v>3</v>
      </c>
      <c r="I9" s="62">
        <f>H9-I11</f>
        <v>3</v>
      </c>
      <c r="J9" s="61"/>
      <c r="K9" s="62">
        <v>3</v>
      </c>
      <c r="L9" s="61">
        <v>2.75</v>
      </c>
      <c r="M9" s="62">
        <f>L9-M11</f>
        <v>2.75</v>
      </c>
      <c r="N9" s="71">
        <v>3</v>
      </c>
      <c r="O9" s="62">
        <f>N9-O11</f>
        <v>2.6</v>
      </c>
      <c r="P9" s="56">
        <v>1.75</v>
      </c>
      <c r="Q9" s="65">
        <f>P9-Q11</f>
        <v>1.05</v>
      </c>
      <c r="R9" s="40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59">
      <c r="A10" s="40"/>
      <c r="B10" s="69"/>
      <c r="C10" s="449"/>
      <c r="D10" s="71"/>
      <c r="E10" s="64"/>
      <c r="F10" s="72"/>
      <c r="G10" s="73"/>
      <c r="H10" s="74"/>
      <c r="I10" s="64"/>
      <c r="J10" s="69"/>
      <c r="K10" s="453"/>
      <c r="L10" s="461"/>
      <c r="M10" s="453"/>
      <c r="N10" s="24"/>
      <c r="O10" s="20"/>
      <c r="P10" s="56"/>
      <c r="Q10" s="25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411"/>
      <c r="C11" s="414"/>
      <c r="D11" s="83"/>
      <c r="E11" s="450"/>
      <c r="F11" s="85"/>
      <c r="G11" s="414"/>
      <c r="H11" s="415" t="s">
        <v>53</v>
      </c>
      <c r="I11" s="451">
        <v>0</v>
      </c>
      <c r="J11" s="85"/>
      <c r="K11" s="454"/>
      <c r="L11" s="415" t="s">
        <v>53</v>
      </c>
      <c r="M11" s="454">
        <v>0</v>
      </c>
      <c r="N11" s="415" t="s">
        <v>53</v>
      </c>
      <c r="O11" s="451">
        <v>0.4</v>
      </c>
      <c r="P11" s="85" t="s">
        <v>54</v>
      </c>
      <c r="Q11" s="412">
        <v>0.7</v>
      </c>
      <c r="R11" s="473" t="s">
        <v>316</v>
      </c>
      <c r="S11" s="474" t="s">
        <v>320</v>
      </c>
      <c r="T11" s="474" t="s">
        <v>322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438" t="s">
        <v>303</v>
      </c>
      <c r="C12" s="98" t="s">
        <v>213</v>
      </c>
      <c r="D12" s="97" t="s">
        <v>60</v>
      </c>
      <c r="E12" s="98" t="s">
        <v>213</v>
      </c>
      <c r="F12" s="447" t="s">
        <v>327</v>
      </c>
      <c r="G12" s="107" t="s">
        <v>213</v>
      </c>
      <c r="H12" s="438" t="s">
        <v>383</v>
      </c>
      <c r="I12" s="98" t="s">
        <v>213</v>
      </c>
      <c r="J12" s="447" t="s">
        <v>63</v>
      </c>
      <c r="K12" s="107" t="s">
        <v>213</v>
      </c>
      <c r="L12" s="397" t="s">
        <v>219</v>
      </c>
      <c r="M12" s="107" t="s">
        <v>213</v>
      </c>
      <c r="N12" s="97" t="s">
        <v>64</v>
      </c>
      <c r="O12" s="107" t="s">
        <v>213</v>
      </c>
      <c r="P12" s="442" t="s">
        <v>263</v>
      </c>
      <c r="Q12" s="193" t="s">
        <v>213</v>
      </c>
      <c r="R12" s="474" t="s">
        <v>317</v>
      </c>
      <c r="S12" s="474" t="s">
        <v>381</v>
      </c>
      <c r="T12" s="47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452" t="s">
        <v>67</v>
      </c>
      <c r="C13" s="185" t="s">
        <v>248</v>
      </c>
      <c r="D13" s="452" t="s">
        <v>67</v>
      </c>
      <c r="E13" s="107" t="s">
        <v>194</v>
      </c>
      <c r="F13" s="475"/>
      <c r="G13" s="185"/>
      <c r="H13" s="477" t="s">
        <v>345</v>
      </c>
      <c r="I13" s="20" t="s">
        <v>87</v>
      </c>
      <c r="J13" s="475" t="s">
        <v>204</v>
      </c>
      <c r="K13" s="658" t="s">
        <v>391</v>
      </c>
      <c r="L13" s="477" t="s">
        <v>345</v>
      </c>
      <c r="M13" s="185" t="s">
        <v>384</v>
      </c>
      <c r="N13" s="475" t="s">
        <v>382</v>
      </c>
      <c r="O13" s="185" t="s">
        <v>74</v>
      </c>
      <c r="P13" s="465"/>
      <c r="Q13" s="107"/>
      <c r="R13" s="472" t="s">
        <v>326</v>
      </c>
      <c r="S13" s="474" t="s">
        <v>319</v>
      </c>
      <c r="T13" s="55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12.5" customHeight="1">
      <c r="A14" s="96"/>
      <c r="B14" s="475"/>
      <c r="C14" s="185"/>
      <c r="D14" s="475" t="s">
        <v>205</v>
      </c>
      <c r="E14" s="185" t="s">
        <v>72</v>
      </c>
      <c r="F14" s="242"/>
      <c r="G14" s="177"/>
      <c r="H14" s="478" t="s">
        <v>382</v>
      </c>
      <c r="I14" s="185" t="s">
        <v>36</v>
      </c>
      <c r="J14" s="137"/>
      <c r="K14" s="107"/>
      <c r="L14" s="465"/>
      <c r="M14" s="20" t="s">
        <v>117</v>
      </c>
      <c r="N14" s="477" t="s">
        <v>345</v>
      </c>
      <c r="O14" s="185" t="s">
        <v>78</v>
      </c>
      <c r="P14" s="452"/>
      <c r="Q14" s="20"/>
      <c r="R14" s="472" t="s">
        <v>331</v>
      </c>
      <c r="S14" s="474" t="s">
        <v>356</v>
      </c>
      <c r="T14" s="55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14" customHeight="1">
      <c r="A15" s="40"/>
      <c r="B15" s="444"/>
      <c r="C15" s="466"/>
      <c r="D15" s="421"/>
      <c r="E15" s="185"/>
      <c r="F15" s="465"/>
      <c r="G15" s="185"/>
      <c r="H15" s="479"/>
      <c r="I15" s="358"/>
      <c r="J15" s="46"/>
      <c r="L15" s="72"/>
      <c r="M15" s="466"/>
      <c r="N15" s="444"/>
      <c r="O15" s="466"/>
      <c r="P15" s="72"/>
      <c r="Q15" s="107"/>
      <c r="R15" s="472" t="s">
        <v>321</v>
      </c>
      <c r="S15" s="473" t="s">
        <v>318</v>
      </c>
      <c r="T15" s="55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ht="114" customHeight="1">
      <c r="A16" s="40"/>
      <c r="B16" s="452" t="s">
        <v>67</v>
      </c>
      <c r="C16" s="466" t="s">
        <v>744</v>
      </c>
      <c r="D16" s="452" t="s">
        <v>67</v>
      </c>
      <c r="E16" s="185" t="s">
        <v>750</v>
      </c>
      <c r="F16" s="465"/>
      <c r="G16" s="185"/>
      <c r="H16" s="478" t="s">
        <v>382</v>
      </c>
      <c r="I16" s="466" t="s">
        <v>465</v>
      </c>
      <c r="J16" s="475" t="s">
        <v>204</v>
      </c>
      <c r="K16" s="107" t="s">
        <v>751</v>
      </c>
      <c r="L16" s="477" t="s">
        <v>345</v>
      </c>
      <c r="M16" s="185" t="s">
        <v>741</v>
      </c>
      <c r="N16" s="475" t="s">
        <v>382</v>
      </c>
      <c r="O16" s="185" t="s">
        <v>74</v>
      </c>
      <c r="P16" s="72"/>
      <c r="Q16" s="107"/>
      <c r="R16" s="474"/>
      <c r="S16" s="473"/>
      <c r="T16" s="55"/>
      <c r="U16" s="402"/>
      <c r="V16" s="122"/>
      <c r="W16" s="123"/>
      <c r="X16" s="38"/>
      <c r="Y16" s="38"/>
      <c r="AF16" s="8"/>
      <c r="AG16" s="8"/>
    </row>
    <row r="17" spans="1:62" ht="114" customHeight="1">
      <c r="A17" s="40"/>
      <c r="B17" s="475" t="s">
        <v>205</v>
      </c>
      <c r="C17" s="466" t="s">
        <v>220</v>
      </c>
      <c r="D17" s="421"/>
      <c r="E17" s="185"/>
      <c r="F17" s="465"/>
      <c r="G17" s="185"/>
      <c r="H17" s="477" t="s">
        <v>345</v>
      </c>
      <c r="I17" s="466" t="s">
        <v>749</v>
      </c>
      <c r="J17" s="46"/>
      <c r="L17" s="72"/>
      <c r="M17" s="466"/>
      <c r="N17" s="477" t="s">
        <v>345</v>
      </c>
      <c r="O17" s="466" t="s">
        <v>739</v>
      </c>
      <c r="P17" s="72"/>
      <c r="Q17" s="107"/>
      <c r="R17" s="474"/>
      <c r="S17" s="473"/>
      <c r="T17" s="55"/>
      <c r="U17" s="402"/>
      <c r="V17" s="122"/>
      <c r="W17" s="123"/>
      <c r="X17" s="38"/>
      <c r="Y17" s="38"/>
      <c r="AF17" s="8"/>
      <c r="AG17" s="8"/>
    </row>
    <row r="18" spans="1:62" s="130" customFormat="1" ht="108.75" customHeight="1" thickBot="1">
      <c r="A18" s="124"/>
      <c r="B18" s="431"/>
      <c r="D18" s="125"/>
      <c r="E18" s="428"/>
      <c r="F18" s="431"/>
      <c r="H18" s="99"/>
      <c r="I18" s="26"/>
      <c r="J18" s="397"/>
      <c r="K18" s="439"/>
      <c r="L18" s="462"/>
      <c r="M18" s="439"/>
      <c r="N18" s="431"/>
      <c r="P18" s="431"/>
      <c r="Q18" s="52"/>
      <c r="R18" s="471" t="s">
        <v>332</v>
      </c>
      <c r="S18" s="470" t="s">
        <v>380</v>
      </c>
      <c r="T18" s="55"/>
      <c r="U18" s="400"/>
      <c r="V18" s="132" t="s">
        <v>84</v>
      </c>
      <c r="W18" s="133"/>
      <c r="X18" s="134"/>
      <c r="Y18" s="134"/>
      <c r="AA18" s="135"/>
      <c r="AB18" s="8"/>
      <c r="AC18" s="136"/>
      <c r="AD18" s="8"/>
      <c r="AE18" s="136" t="s">
        <v>81</v>
      </c>
    </row>
    <row r="19" spans="1:62" ht="105.75" customHeight="1">
      <c r="A19" s="40"/>
      <c r="B19" s="137"/>
      <c r="C19" s="427"/>
      <c r="D19" s="443" t="s">
        <v>307</v>
      </c>
      <c r="E19" s="432" t="s">
        <v>39</v>
      </c>
      <c r="F19" s="468" t="s">
        <v>249</v>
      </c>
      <c r="G19" s="127" t="s">
        <v>78</v>
      </c>
      <c r="H19" s="469"/>
      <c r="I19" s="140"/>
      <c r="J19" s="24"/>
      <c r="L19" s="24"/>
      <c r="N19" s="469" t="s">
        <v>323</v>
      </c>
      <c r="O19" s="140" t="s">
        <v>87</v>
      </c>
      <c r="P19" s="141" t="s">
        <v>54</v>
      </c>
      <c r="Q19" s="142">
        <v>0.4</v>
      </c>
      <c r="R19" s="678" t="s">
        <v>379</v>
      </c>
      <c r="S19" s="679"/>
      <c r="T19" s="680"/>
      <c r="U19" s="681"/>
      <c r="V19" s="143" t="s">
        <v>88</v>
      </c>
      <c r="W19" s="123"/>
      <c r="X19" s="38"/>
      <c r="Y19" s="38"/>
      <c r="AA19" s="144"/>
      <c r="AB19" s="145"/>
      <c r="AC19" s="136"/>
      <c r="AD19" s="146"/>
      <c r="AF19" s="8"/>
      <c r="AG19" s="8"/>
    </row>
    <row r="20" spans="1:62" ht="75.75" customHeight="1" thickBot="1">
      <c r="A20" s="147"/>
      <c r="B20" s="151">
        <f>B53</f>
        <v>1.4754999999999998</v>
      </c>
      <c r="C20" s="150"/>
      <c r="D20" s="151">
        <f>D53</f>
        <v>1.7024999999999997</v>
      </c>
      <c r="E20" s="149"/>
      <c r="F20" s="151">
        <f>F53</f>
        <v>1.1349999999999998</v>
      </c>
      <c r="G20" s="150"/>
      <c r="H20" s="151">
        <f>H53</f>
        <v>1.7024999999999997</v>
      </c>
      <c r="I20" s="150"/>
      <c r="J20" s="668">
        <f>J53</f>
        <v>1.7024999999999997</v>
      </c>
      <c r="K20" s="150"/>
      <c r="L20" s="148">
        <f>L53</f>
        <v>1.5606249999999995</v>
      </c>
      <c r="M20" s="150"/>
      <c r="N20" s="151">
        <f>N53</f>
        <v>1.4754999999999998</v>
      </c>
      <c r="O20" s="149"/>
      <c r="P20" s="152">
        <f>P53</f>
        <v>0.59587499999999993</v>
      </c>
      <c r="Q20" s="149">
        <f>P20+Q19</f>
        <v>0.99587499999999995</v>
      </c>
      <c r="R20" s="682"/>
      <c r="S20" s="683"/>
      <c r="T20" s="683"/>
      <c r="U20" s="684"/>
      <c r="V20" s="153" t="s">
        <v>89</v>
      </c>
      <c r="W20" s="154"/>
      <c r="X20" s="94"/>
      <c r="Y20" s="94"/>
      <c r="AA20" s="155"/>
      <c r="AB20" s="156"/>
      <c r="AC20" s="157"/>
      <c r="AD20" s="146"/>
      <c r="AF20" s="8"/>
      <c r="AG20" s="8"/>
    </row>
    <row r="21" spans="1:62" ht="409.6" thickTop="1">
      <c r="A21" s="556"/>
      <c r="B21" s="558" t="s">
        <v>372</v>
      </c>
      <c r="C21" s="559" t="s">
        <v>395</v>
      </c>
      <c r="D21" s="558" t="s">
        <v>372</v>
      </c>
      <c r="E21" s="559" t="s">
        <v>396</v>
      </c>
      <c r="F21" s="558"/>
      <c r="G21" s="560"/>
      <c r="H21" s="558" t="s">
        <v>373</v>
      </c>
      <c r="I21" s="559" t="s">
        <v>398</v>
      </c>
      <c r="J21" s="558" t="s">
        <v>349</v>
      </c>
      <c r="K21" s="557" t="s">
        <v>392</v>
      </c>
      <c r="L21" s="561" t="s">
        <v>393</v>
      </c>
      <c r="M21" s="562" t="s">
        <v>394</v>
      </c>
      <c r="N21" s="558" t="s">
        <v>372</v>
      </c>
      <c r="O21" s="559" t="s">
        <v>397</v>
      </c>
      <c r="P21" s="492"/>
      <c r="Q21" s="524"/>
      <c r="R21" s="685" t="s">
        <v>90</v>
      </c>
      <c r="S21" s="686"/>
      <c r="T21" s="686"/>
      <c r="U21" s="687"/>
      <c r="V21" s="161"/>
      <c r="W21" s="117"/>
      <c r="X21" s="162"/>
      <c r="Y21" s="38"/>
      <c r="AA21" s="155"/>
      <c r="AB21" s="156"/>
      <c r="AC21" s="157"/>
      <c r="AD21" s="146"/>
      <c r="AF21" s="8"/>
      <c r="AG21" s="8"/>
      <c r="BI21" s="8" t="s">
        <v>91</v>
      </c>
      <c r="BJ21" s="8" t="s">
        <v>92</v>
      </c>
    </row>
    <row r="22" spans="1:62" ht="400" customHeight="1" thickBot="1">
      <c r="A22" s="556"/>
      <c r="B22" s="524"/>
      <c r="C22" s="524"/>
      <c r="D22" s="492"/>
      <c r="E22" s="524"/>
      <c r="F22" s="506"/>
      <c r="G22" s="554"/>
      <c r="H22" s="555"/>
      <c r="I22" s="524"/>
      <c r="J22" s="492"/>
      <c r="K22" s="557"/>
      <c r="L22" s="492"/>
      <c r="M22" s="524"/>
      <c r="N22" s="492"/>
      <c r="O22" s="524"/>
      <c r="P22" s="492"/>
      <c r="Q22" s="524"/>
      <c r="R22" s="163"/>
      <c r="S22" s="164"/>
      <c r="T22" s="164"/>
      <c r="U22" s="165"/>
      <c r="V22" s="161"/>
      <c r="W22" s="117"/>
      <c r="X22" s="162"/>
      <c r="Y22" s="38"/>
      <c r="AA22" s="155"/>
      <c r="AB22" s="156"/>
      <c r="AC22" s="157"/>
      <c r="AD22" s="146"/>
      <c r="AF22" s="8"/>
      <c r="AG22" s="8"/>
    </row>
    <row r="23" spans="1:62" ht="388.5" customHeight="1" thickBot="1">
      <c r="A23" s="51"/>
      <c r="B23" s="56"/>
      <c r="C23" s="107"/>
      <c r="D23" s="56"/>
      <c r="E23" s="107"/>
      <c r="F23" s="72"/>
      <c r="G23" s="167"/>
      <c r="H23" s="159"/>
      <c r="I23" s="107"/>
      <c r="J23" s="24"/>
      <c r="K23" s="160"/>
      <c r="L23" s="56"/>
      <c r="M23" s="107"/>
      <c r="N23" s="24"/>
      <c r="O23" s="107"/>
      <c r="P23" s="24"/>
      <c r="Q23" s="20"/>
      <c r="R23" s="168"/>
      <c r="S23" s="691" t="s">
        <v>93</v>
      </c>
      <c r="T23" s="691"/>
      <c r="U23" s="692"/>
      <c r="V23" s="161"/>
      <c r="W23" s="117"/>
      <c r="X23" s="162"/>
      <c r="Y23" s="38"/>
      <c r="AA23" s="155"/>
      <c r="AB23" s="156"/>
      <c r="AC23" s="157"/>
      <c r="AD23" s="146"/>
      <c r="AF23" s="8"/>
      <c r="AG23" s="8"/>
    </row>
    <row r="24" spans="1:62" ht="60">
      <c r="A24" s="19"/>
      <c r="D24" s="46"/>
      <c r="F24" s="170"/>
      <c r="G24" s="171"/>
      <c r="H24" s="24"/>
      <c r="I24" s="172"/>
      <c r="J24" s="46"/>
      <c r="L24" s="173" t="s">
        <v>117</v>
      </c>
      <c r="M24" s="172"/>
      <c r="N24" s="174"/>
      <c r="O24" s="175"/>
      <c r="P24" s="176"/>
      <c r="Q24" s="177"/>
      <c r="R24" s="693"/>
      <c r="S24" s="694"/>
      <c r="T24" s="694"/>
      <c r="U24" s="695"/>
      <c r="V24" s="110"/>
      <c r="W24" s="178"/>
      <c r="X24" s="179"/>
      <c r="Y24" s="180"/>
      <c r="AA24" s="181" t="s">
        <v>94</v>
      </c>
      <c r="AB24" s="156" t="s">
        <v>95</v>
      </c>
      <c r="AC24" s="136"/>
      <c r="AF24" s="8"/>
      <c r="AG24" s="8"/>
    </row>
    <row r="25" spans="1:62" ht="336" customHeight="1" thickBot="1">
      <c r="A25" s="96"/>
      <c r="B25" s="56"/>
      <c r="C25" s="182"/>
      <c r="D25" s="46"/>
      <c r="F25" s="183"/>
      <c r="G25" s="182"/>
      <c r="H25" s="184"/>
      <c r="I25" s="158"/>
      <c r="J25" s="72"/>
      <c r="L25" s="159"/>
      <c r="M25" s="185"/>
      <c r="N25" s="186"/>
      <c r="O25" s="187"/>
      <c r="P25" s="159"/>
      <c r="Q25" s="177"/>
      <c r="R25" s="696"/>
      <c r="S25" s="697"/>
      <c r="T25" s="697"/>
      <c r="U25" s="698"/>
      <c r="V25" s="110"/>
      <c r="W25" s="178"/>
      <c r="X25" s="179"/>
      <c r="Y25" s="180"/>
      <c r="AA25" s="181"/>
      <c r="AB25" s="156"/>
      <c r="AC25" s="136"/>
      <c r="AF25" s="8"/>
      <c r="AG25" s="8"/>
    </row>
    <row r="26" spans="1:62" ht="190.5" customHeight="1">
      <c r="A26" s="96"/>
      <c r="B26" s="24"/>
      <c r="C26" s="158"/>
      <c r="D26" s="184"/>
      <c r="E26" s="172"/>
      <c r="F26" s="184"/>
      <c r="G26" s="158"/>
      <c r="H26" s="184"/>
      <c r="I26" s="158"/>
      <c r="J26" s="184"/>
      <c r="K26" s="20"/>
      <c r="L26" s="24"/>
      <c r="M26" s="20"/>
      <c r="N26" s="173"/>
      <c r="O26" s="172"/>
      <c r="P26" s="159"/>
      <c r="Q26" s="177"/>
      <c r="R26" s="188"/>
      <c r="S26" s="189"/>
      <c r="T26" s="190"/>
      <c r="U26" s="189"/>
      <c r="V26" s="110"/>
      <c r="W26" s="178"/>
      <c r="X26" s="179"/>
      <c r="Y26" s="180"/>
      <c r="AA26" s="191" t="s">
        <v>96</v>
      </c>
      <c r="AB26" s="192"/>
      <c r="AC26" s="136"/>
      <c r="AF26" s="8"/>
      <c r="AG26" s="8"/>
    </row>
    <row r="27" spans="1:62" ht="124.5" customHeight="1">
      <c r="A27" s="96"/>
      <c r="B27" s="184"/>
      <c r="C27" s="158"/>
      <c r="D27" s="184"/>
      <c r="E27" s="172"/>
      <c r="F27" s="184"/>
      <c r="G27" s="158"/>
      <c r="H27" s="184"/>
      <c r="I27" s="158"/>
      <c r="J27" s="184"/>
      <c r="K27" s="172"/>
      <c r="L27" s="173"/>
      <c r="M27" s="172"/>
      <c r="N27" s="173"/>
      <c r="O27" s="172"/>
      <c r="P27" s="159"/>
      <c r="Q27" s="193"/>
      <c r="R27" s="49"/>
      <c r="S27" s="49"/>
      <c r="T27" s="194"/>
      <c r="U27" s="50"/>
      <c r="V27" s="110"/>
      <c r="W27" s="178"/>
      <c r="X27" s="179"/>
      <c r="Y27" s="180"/>
      <c r="AA27" s="191"/>
      <c r="AB27" s="192"/>
      <c r="AC27" s="136"/>
      <c r="AF27" s="8"/>
      <c r="AG27" s="8"/>
    </row>
    <row r="28" spans="1:62" ht="144" customHeight="1">
      <c r="A28" s="96"/>
      <c r="B28" s="56"/>
      <c r="C28" s="182"/>
      <c r="D28" s="176"/>
      <c r="E28" s="195"/>
      <c r="F28" s="196"/>
      <c r="G28" s="107"/>
      <c r="H28" s="24"/>
      <c r="I28" s="20"/>
      <c r="J28" s="24"/>
      <c r="K28" s="20"/>
      <c r="L28" s="24"/>
      <c r="M28" s="20"/>
      <c r="N28" s="24"/>
      <c r="O28" s="20"/>
      <c r="P28" s="56"/>
      <c r="Q28" s="197"/>
      <c r="S28" s="49"/>
      <c r="T28" s="189"/>
      <c r="U28" s="49"/>
      <c r="V28" s="198"/>
      <c r="W28" s="199"/>
      <c r="X28" s="200"/>
      <c r="Y28" s="201"/>
      <c r="AA28" s="202" t="s">
        <v>97</v>
      </c>
      <c r="AB28" s="192"/>
      <c r="AC28" s="136"/>
      <c r="AF28" s="8"/>
      <c r="AG28" s="8"/>
    </row>
    <row r="29" spans="1:62" ht="48" customHeight="1">
      <c r="A29" s="96"/>
      <c r="B29" s="24"/>
      <c r="C29" s="20"/>
      <c r="D29" s="196"/>
      <c r="E29" s="20"/>
      <c r="F29" s="196"/>
      <c r="G29" s="203"/>
      <c r="H29" s="204"/>
      <c r="I29" s="20"/>
      <c r="J29" s="24"/>
      <c r="K29" s="107"/>
      <c r="L29" s="56"/>
      <c r="M29" s="107"/>
      <c r="N29" s="56"/>
      <c r="O29" s="107"/>
      <c r="P29" s="56"/>
      <c r="Q29" s="197"/>
      <c r="R29" s="205"/>
      <c r="S29" s="206"/>
      <c r="T29" s="205"/>
      <c r="U29" s="205"/>
      <c r="V29" s="198"/>
      <c r="W29" s="199"/>
      <c r="X29" s="200"/>
      <c r="Y29" s="201"/>
      <c r="AA29" s="207"/>
      <c r="AB29" s="192"/>
      <c r="AC29" s="136"/>
      <c r="AD29" s="8"/>
      <c r="AF29" s="8"/>
      <c r="AG29" s="8"/>
    </row>
    <row r="30" spans="1:62" ht="33" customHeight="1">
      <c r="A30" s="96"/>
      <c r="B30" s="208"/>
      <c r="C30" s="209"/>
      <c r="D30" s="20"/>
      <c r="E30" s="20"/>
      <c r="F30" s="24"/>
      <c r="G30" s="182"/>
      <c r="H30" s="24"/>
      <c r="I30" s="20"/>
      <c r="J30" s="24"/>
      <c r="K30" s="20"/>
      <c r="L30" s="24"/>
      <c r="M30" s="20"/>
      <c r="N30" s="24"/>
      <c r="O30" s="20"/>
      <c r="P30" s="56"/>
      <c r="Q30" s="197"/>
      <c r="R30" s="93"/>
      <c r="S30" s="93"/>
      <c r="T30" s="49"/>
      <c r="U30" s="93"/>
      <c r="V30" s="210"/>
      <c r="W30" s="199"/>
      <c r="X30" s="200"/>
      <c r="Y30" s="201"/>
      <c r="AA30" s="46"/>
      <c r="AB30" s="192"/>
      <c r="AC30" s="136"/>
      <c r="AF30" s="8"/>
      <c r="AG30" s="8"/>
    </row>
    <row r="31" spans="1:62" ht="144.75" customHeight="1">
      <c r="A31" s="96"/>
      <c r="B31" s="56"/>
      <c r="C31" s="209"/>
      <c r="D31" s="20"/>
      <c r="E31" s="20"/>
      <c r="F31" s="183"/>
      <c r="G31" s="182"/>
      <c r="H31" s="196"/>
      <c r="I31" s="20"/>
      <c r="J31" s="211"/>
      <c r="K31" s="175"/>
      <c r="L31" s="174"/>
      <c r="M31" s="175"/>
      <c r="N31" s="174"/>
      <c r="O31" s="175"/>
      <c r="P31" s="56"/>
      <c r="Q31" s="212"/>
      <c r="R31" s="194"/>
      <c r="S31" s="189"/>
      <c r="U31" s="49"/>
      <c r="V31" s="213"/>
      <c r="W31" s="199"/>
      <c r="X31" s="214"/>
      <c r="Y31" s="201"/>
      <c r="AA31" s="215"/>
      <c r="AB31" s="192"/>
      <c r="AC31" s="136"/>
      <c r="AF31" s="8"/>
      <c r="AG31" s="8"/>
    </row>
    <row r="32" spans="1:62" s="192" customFormat="1" ht="83.25" customHeight="1" thickBot="1">
      <c r="A32" s="216"/>
      <c r="B32" s="217">
        <f>B46</f>
        <v>-6.230000000000004</v>
      </c>
      <c r="C32" s="218"/>
      <c r="D32" s="219">
        <f>D46</f>
        <v>5.3499999999999943</v>
      </c>
      <c r="E32" s="220"/>
      <c r="F32" s="221">
        <f>F46</f>
        <v>-21.100000000000009</v>
      </c>
      <c r="G32" s="221"/>
      <c r="H32" s="217">
        <f>H46</f>
        <v>14.349999999999994</v>
      </c>
      <c r="I32" s="218"/>
      <c r="J32" s="217">
        <f>J46</f>
        <v>20.349999999999994</v>
      </c>
      <c r="K32" s="222"/>
      <c r="L32" s="217">
        <f>L46</f>
        <v>9.7374999999999829</v>
      </c>
      <c r="M32" s="222"/>
      <c r="N32" s="217">
        <f>N46</f>
        <v>3.769999999999996</v>
      </c>
      <c r="O32" s="222"/>
      <c r="P32" s="152">
        <f>P46</f>
        <v>-26.227500000000003</v>
      </c>
      <c r="Q32" s="218"/>
      <c r="R32" s="223"/>
      <c r="S32" s="224"/>
      <c r="T32" s="224"/>
      <c r="U32" s="224"/>
      <c r="V32" s="225"/>
      <c r="W32" s="226"/>
      <c r="X32" s="227"/>
      <c r="Y32" s="228"/>
      <c r="AA32" s="192" t="s">
        <v>98</v>
      </c>
    </row>
    <row r="33" spans="1:36" ht="300" customHeight="1" thickTop="1">
      <c r="A33" s="19"/>
      <c r="B33" s="24"/>
      <c r="C33" s="445"/>
      <c r="D33" s="441" t="s">
        <v>12</v>
      </c>
      <c r="E33" s="448" t="s">
        <v>329</v>
      </c>
      <c r="F33" s="419" t="s">
        <v>198</v>
      </c>
      <c r="G33" s="464" t="s">
        <v>99</v>
      </c>
      <c r="H33" s="24"/>
      <c r="I33" s="464"/>
      <c r="J33" s="24"/>
      <c r="K33" s="445"/>
      <c r="L33" s="456"/>
      <c r="M33" s="464"/>
      <c r="N33" s="457"/>
      <c r="O33" s="445"/>
      <c r="P33" s="24" t="s">
        <v>16</v>
      </c>
      <c r="Q33" s="445" t="s">
        <v>330</v>
      </c>
      <c r="R33" s="231" t="s">
        <v>53</v>
      </c>
      <c r="S33" s="232" t="s">
        <v>102</v>
      </c>
      <c r="T33" s="233"/>
      <c r="U33" s="234"/>
      <c r="V33" s="110"/>
      <c r="W33" s="28"/>
      <c r="X33" s="235"/>
      <c r="Y33" s="236"/>
    </row>
    <row r="34" spans="1:36" ht="222" customHeight="1">
      <c r="A34" s="96"/>
      <c r="B34" s="24"/>
      <c r="C34" s="107"/>
      <c r="D34" s="24"/>
      <c r="E34" s="229"/>
      <c r="F34" s="457"/>
      <c r="G34" s="229"/>
      <c r="H34" s="24"/>
      <c r="I34" s="445"/>
      <c r="J34" s="24"/>
      <c r="K34" s="229"/>
      <c r="L34" s="441"/>
      <c r="M34" s="229"/>
      <c r="N34" s="46"/>
      <c r="P34" s="24"/>
      <c r="Q34" s="243"/>
      <c r="R34" s="237" t="s">
        <v>103</v>
      </c>
      <c r="S34" s="238"/>
      <c r="T34" s="239"/>
      <c r="U34" s="234"/>
      <c r="V34" s="68"/>
      <c r="W34" s="28"/>
      <c r="X34" s="201"/>
      <c r="Y34" s="201"/>
      <c r="AA34" s="240" t="s">
        <v>104</v>
      </c>
      <c r="AB34" s="240"/>
      <c r="AC34" s="240" t="s">
        <v>105</v>
      </c>
      <c r="AD34" s="240" t="s">
        <v>106</v>
      </c>
      <c r="AE34" s="8" t="s">
        <v>107</v>
      </c>
      <c r="AF34" s="192"/>
      <c r="AG34" s="192"/>
      <c r="AH34" s="192"/>
      <c r="AI34" s="192"/>
      <c r="AJ34" s="192"/>
    </row>
    <row r="35" spans="1:36" ht="168.75" customHeight="1">
      <c r="A35" s="19"/>
      <c r="B35" s="241"/>
      <c r="C35" s="107"/>
      <c r="D35" s="242"/>
      <c r="E35" s="243"/>
      <c r="F35" s="244"/>
      <c r="G35" s="241"/>
      <c r="H35" s="24"/>
      <c r="I35" s="230"/>
      <c r="J35" s="72"/>
      <c r="K35" s="20"/>
      <c r="L35" s="24"/>
      <c r="M35" s="20"/>
      <c r="N35" s="24"/>
      <c r="O35" s="229"/>
      <c r="P35" s="24"/>
      <c r="Q35" s="107"/>
      <c r="R35" s="245" t="s">
        <v>108</v>
      </c>
      <c r="S35" s="246" t="s">
        <v>197</v>
      </c>
      <c r="T35" s="232" t="s">
        <v>109</v>
      </c>
      <c r="U35" s="247" t="s">
        <v>110</v>
      </c>
      <c r="V35" s="68"/>
      <c r="W35" s="123"/>
      <c r="X35" s="201"/>
      <c r="Y35" s="201"/>
      <c r="AA35" s="9" t="s">
        <v>111</v>
      </c>
      <c r="AB35" s="9"/>
      <c r="AC35" s="9" t="s">
        <v>105</v>
      </c>
      <c r="AD35" s="9" t="s">
        <v>112</v>
      </c>
      <c r="AE35" s="9" t="s">
        <v>113</v>
      </c>
      <c r="AF35" s="8"/>
      <c r="AG35" s="8"/>
    </row>
    <row r="36" spans="1:36" ht="94.5" customHeight="1">
      <c r="A36" s="19"/>
      <c r="B36" s="248"/>
      <c r="C36" s="20"/>
      <c r="D36" s="54"/>
      <c r="E36" s="249"/>
      <c r="F36" s="56"/>
      <c r="G36" s="20"/>
      <c r="H36" s="56"/>
      <c r="I36" s="57"/>
      <c r="J36" s="250"/>
      <c r="K36" s="241"/>
      <c r="L36" s="251"/>
      <c r="M36" s="241"/>
      <c r="N36" s="24"/>
      <c r="O36" s="241"/>
      <c r="P36" s="56"/>
      <c r="Q36" s="57"/>
      <c r="R36" s="252" t="s">
        <v>114</v>
      </c>
      <c r="S36" s="253" t="s">
        <v>115</v>
      </c>
      <c r="T36" s="233" t="s">
        <v>116</v>
      </c>
      <c r="U36" s="49"/>
      <c r="V36" s="68"/>
      <c r="W36" s="123"/>
      <c r="X36" s="201"/>
      <c r="Y36" s="201" t="s">
        <v>117</v>
      </c>
      <c r="AA36" s="9" t="s">
        <v>2</v>
      </c>
      <c r="AB36" s="9"/>
      <c r="AC36" s="9" t="s">
        <v>105</v>
      </c>
      <c r="AD36" s="9" t="s">
        <v>118</v>
      </c>
      <c r="AE36" s="9" t="s">
        <v>113</v>
      </c>
      <c r="AF36" s="8"/>
      <c r="AG36" s="8"/>
    </row>
    <row r="37" spans="1:36" ht="34.5" customHeight="1">
      <c r="A37" s="254"/>
      <c r="B37" s="59"/>
      <c r="C37" s="255"/>
      <c r="D37" s="59"/>
      <c r="E37" s="20"/>
      <c r="F37" s="248"/>
      <c r="G37" s="20"/>
      <c r="H37" s="256"/>
      <c r="I37" s="255"/>
      <c r="J37" s="257"/>
      <c r="K37" s="258"/>
      <c r="L37" s="257"/>
      <c r="M37" s="258"/>
      <c r="N37" s="24"/>
      <c r="O37" s="258"/>
      <c r="P37" s="56"/>
      <c r="Q37" s="57"/>
      <c r="R37" s="259"/>
      <c r="S37" s="260"/>
      <c r="T37" s="260"/>
      <c r="U37" s="261"/>
      <c r="V37" s="68"/>
      <c r="W37" s="123"/>
      <c r="X37" s="200"/>
      <c r="Y37" s="201"/>
      <c r="AA37" s="9" t="s">
        <v>119</v>
      </c>
      <c r="AB37" s="9"/>
      <c r="AC37" s="9" t="s">
        <v>120</v>
      </c>
      <c r="AD37" s="9" t="s">
        <v>121</v>
      </c>
      <c r="AE37" s="9" t="s">
        <v>122</v>
      </c>
      <c r="AF37" s="8" t="s">
        <v>107</v>
      </c>
      <c r="AG37" s="8"/>
    </row>
    <row r="38" spans="1:36" ht="34.5" customHeight="1" thickBot="1">
      <c r="A38" s="262"/>
      <c r="B38" s="263"/>
      <c r="C38" s="264"/>
      <c r="D38" s="263"/>
      <c r="E38" s="264"/>
      <c r="F38" s="265"/>
      <c r="G38" s="265"/>
      <c r="H38" s="263"/>
      <c r="I38" s="264"/>
      <c r="J38" s="263"/>
      <c r="K38" s="265"/>
      <c r="L38" s="263"/>
      <c r="M38" s="265"/>
      <c r="N38" s="263"/>
      <c r="O38" s="265"/>
      <c r="P38" s="266"/>
      <c r="Q38" s="267"/>
      <c r="R38" s="268"/>
      <c r="S38" s="269"/>
      <c r="T38" s="269"/>
      <c r="U38" s="270"/>
      <c r="V38" s="271"/>
      <c r="W38" s="272"/>
      <c r="X38" s="228"/>
      <c r="Y38" s="228"/>
      <c r="AA38" s="9" t="s">
        <v>123</v>
      </c>
      <c r="AB38" s="9"/>
      <c r="AC38" s="9" t="s">
        <v>120</v>
      </c>
      <c r="AD38" s="9" t="s">
        <v>124</v>
      </c>
      <c r="AE38" s="9" t="s">
        <v>113</v>
      </c>
      <c r="AF38" s="8"/>
      <c r="AG38" s="8"/>
    </row>
    <row r="39" spans="1:36" ht="73.5" customHeight="1" thickTop="1">
      <c r="A39" s="273" t="s">
        <v>125</v>
      </c>
      <c r="B39" s="274" t="s">
        <v>126</v>
      </c>
      <c r="C39" s="275"/>
      <c r="D39" s="276" t="s">
        <v>127</v>
      </c>
      <c r="E39" s="200"/>
      <c r="F39" s="277"/>
      <c r="G39" s="200"/>
      <c r="H39" s="278"/>
      <c r="I39" s="200"/>
      <c r="J39" s="214"/>
      <c r="K39" s="200"/>
      <c r="L39" s="214"/>
      <c r="M39" s="200"/>
      <c r="N39" s="277"/>
      <c r="O39" s="200"/>
      <c r="P39" s="279"/>
      <c r="Q39" s="200"/>
      <c r="R39" s="280"/>
      <c r="S39" s="281"/>
      <c r="T39" s="281"/>
      <c r="U39" s="282"/>
      <c r="V39" s="274" t="s">
        <v>128</v>
      </c>
      <c r="W39" s="283"/>
      <c r="X39" s="214"/>
      <c r="Y39" s="201"/>
      <c r="AA39" s="9" t="s">
        <v>18</v>
      </c>
      <c r="AB39" s="9"/>
      <c r="AC39" s="9" t="s">
        <v>129</v>
      </c>
      <c r="AE39" s="9" t="s">
        <v>130</v>
      </c>
      <c r="AF39" s="8" t="s">
        <v>131</v>
      </c>
      <c r="AG39" s="8"/>
    </row>
    <row r="40" spans="1:36" ht="40.5" customHeight="1">
      <c r="A40" s="273"/>
      <c r="B40" s="214"/>
      <c r="C40" s="275"/>
      <c r="D40" s="200"/>
      <c r="F40" s="214"/>
      <c r="G40" s="200"/>
      <c r="H40" s="214"/>
      <c r="I40" s="200"/>
      <c r="J40" s="214"/>
      <c r="K40" s="200"/>
      <c r="L40" s="214"/>
      <c r="M40" s="200"/>
      <c r="N40" s="214"/>
      <c r="O40" s="200"/>
      <c r="P40" s="214"/>
      <c r="Q40" s="200"/>
      <c r="R40" s="214"/>
      <c r="S40" s="282"/>
      <c r="T40" s="282"/>
      <c r="U40" s="282"/>
      <c r="V40" s="274" t="s">
        <v>132</v>
      </c>
      <c r="W40" s="200"/>
      <c r="X40" s="214"/>
      <c r="Y40" s="201"/>
      <c r="AA40" s="9"/>
      <c r="AB40" s="9"/>
      <c r="AC40" s="9" t="s">
        <v>133</v>
      </c>
      <c r="AD40" s="9" t="s">
        <v>134</v>
      </c>
      <c r="AE40" s="9" t="s">
        <v>130</v>
      </c>
      <c r="AF40" s="8"/>
      <c r="AG40" s="8"/>
    </row>
    <row r="41" spans="1:36" ht="58.5" customHeight="1" thickBot="1">
      <c r="A41" s="284"/>
      <c r="B41" s="285"/>
      <c r="C41" s="286"/>
      <c r="D41" s="287"/>
      <c r="E41" s="287"/>
      <c r="F41" s="285"/>
      <c r="G41" s="287"/>
      <c r="H41" s="285"/>
      <c r="I41" s="287"/>
      <c r="J41" s="285"/>
      <c r="K41" s="287"/>
      <c r="L41" s="285"/>
      <c r="M41" s="287"/>
      <c r="N41" s="285"/>
      <c r="O41" s="287"/>
      <c r="P41" s="285"/>
      <c r="Q41" s="287"/>
      <c r="R41" s="46"/>
      <c r="T41" s="288"/>
      <c r="U41" s="288"/>
      <c r="V41" s="289"/>
      <c r="W41" s="290"/>
      <c r="X41" s="291"/>
      <c r="Y41" s="292"/>
      <c r="AA41" s="9"/>
      <c r="AB41" s="9"/>
      <c r="AF41" s="8"/>
      <c r="AG41" s="8"/>
    </row>
    <row r="42" spans="1:36" ht="31.5" customHeight="1" thickTop="1">
      <c r="A42" s="293" t="s">
        <v>135</v>
      </c>
      <c r="B42" s="294">
        <f>B47+D47+F47+H47+J47+P47+N47+L47</f>
        <v>529</v>
      </c>
      <c r="C42" s="295"/>
      <c r="D42" s="296"/>
      <c r="F42" s="296"/>
      <c r="G42" s="297"/>
      <c r="H42" s="278"/>
      <c r="I42" s="298"/>
      <c r="J42" s="278"/>
      <c r="K42" s="299"/>
      <c r="L42" s="278"/>
      <c r="M42" s="299"/>
      <c r="N42" s="278"/>
      <c r="O42" s="299"/>
      <c r="P42" s="279"/>
      <c r="Q42" s="300"/>
      <c r="R42" s="291"/>
      <c r="S42" s="288"/>
      <c r="T42" s="301"/>
      <c r="U42" s="301"/>
      <c r="V42" s="669"/>
      <c r="W42" s="670"/>
      <c r="X42" s="670"/>
      <c r="Y42" s="671"/>
      <c r="Z42" s="302"/>
      <c r="AA42" s="303"/>
    </row>
    <row r="43" spans="1:36" ht="73" thickBot="1">
      <c r="A43" s="304" t="s">
        <v>136</v>
      </c>
      <c r="B43" s="305">
        <f>SUM(B45:T45)</f>
        <v>20.000000000000004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8"/>
      <c r="O43" s="299"/>
      <c r="P43" s="279"/>
      <c r="Q43" s="300"/>
      <c r="R43" s="282"/>
      <c r="S43" s="115"/>
      <c r="T43" s="301"/>
      <c r="U43" s="301"/>
      <c r="V43" s="672"/>
      <c r="W43" s="673"/>
      <c r="X43" s="673"/>
      <c r="Y43" s="674"/>
      <c r="Z43" s="302"/>
      <c r="AA43" s="303"/>
    </row>
    <row r="44" spans="1:36" ht="72">
      <c r="A44" s="304" t="s">
        <v>137</v>
      </c>
      <c r="B44" s="294">
        <f>B42/B43</f>
        <v>26.449999999999996</v>
      </c>
      <c r="C44" s="295"/>
      <c r="D44" s="296"/>
      <c r="E44" s="297"/>
      <c r="F44" s="296"/>
      <c r="G44" s="297"/>
      <c r="H44" s="278"/>
      <c r="I44" s="299"/>
      <c r="J44" s="278"/>
      <c r="K44" s="299"/>
      <c r="L44" s="278"/>
      <c r="M44" s="299"/>
      <c r="N44" s="278"/>
      <c r="O44" s="299"/>
      <c r="P44" s="279"/>
      <c r="Q44" s="300"/>
      <c r="R44" s="282"/>
      <c r="S44" s="115"/>
      <c r="T44" s="306"/>
      <c r="U44" s="306"/>
      <c r="V44" s="307"/>
      <c r="W44" s="308"/>
      <c r="X44" s="308"/>
      <c r="Y44" s="309"/>
      <c r="Z44" s="306"/>
      <c r="AA44" s="303"/>
    </row>
    <row r="45" spans="1:36" ht="72">
      <c r="A45" s="310" t="s">
        <v>138</v>
      </c>
      <c r="B45" s="305">
        <f>C9</f>
        <v>2.6</v>
      </c>
      <c r="C45" s="295"/>
      <c r="D45" s="296">
        <f>E9</f>
        <v>3</v>
      </c>
      <c r="E45" s="297"/>
      <c r="F45" s="296">
        <f>G9</f>
        <v>2</v>
      </c>
      <c r="G45" s="297"/>
      <c r="H45" s="278">
        <f>I9</f>
        <v>3</v>
      </c>
      <c r="I45" s="299"/>
      <c r="J45" s="278">
        <f>K9</f>
        <v>3</v>
      </c>
      <c r="K45" s="299"/>
      <c r="L45" s="278">
        <f>M9</f>
        <v>2.75</v>
      </c>
      <c r="M45" s="299"/>
      <c r="N45" s="278">
        <f>O9</f>
        <v>2.6</v>
      </c>
      <c r="O45" s="299"/>
      <c r="P45" s="311">
        <f>Q9</f>
        <v>1.05</v>
      </c>
      <c r="Q45" s="300"/>
      <c r="R45" s="312"/>
      <c r="S45" s="313"/>
      <c r="T45" s="313"/>
      <c r="U45" s="313"/>
      <c r="V45" s="314"/>
      <c r="W45" s="315"/>
      <c r="X45" s="315"/>
      <c r="Y45" s="316"/>
      <c r="Z45" s="317"/>
      <c r="AA45" s="303"/>
    </row>
    <row r="46" spans="1:36" ht="72">
      <c r="A46" s="304" t="s">
        <v>139</v>
      </c>
      <c r="B46" s="294">
        <f>B42/B43*B45-B47</f>
        <v>-6.230000000000004</v>
      </c>
      <c r="C46" s="295"/>
      <c r="D46" s="318">
        <f>B42/B43*D45-D47</f>
        <v>5.3499999999999943</v>
      </c>
      <c r="E46" s="319"/>
      <c r="F46" s="318">
        <f>B42/B43*F45-F47</f>
        <v>-21.100000000000009</v>
      </c>
      <c r="G46" s="320"/>
      <c r="H46" s="321">
        <f>B42/B43*H45-H47</f>
        <v>14.349999999999994</v>
      </c>
      <c r="I46" s="322"/>
      <c r="J46" s="321">
        <f>B42/B43*J45-J47</f>
        <v>20.349999999999994</v>
      </c>
      <c r="K46" s="322"/>
      <c r="L46" s="321">
        <f>B42/B43*L45-L47</f>
        <v>9.7374999999999829</v>
      </c>
      <c r="M46" s="322"/>
      <c r="N46" s="321">
        <f>B42/B43*N45-N47</f>
        <v>3.769999999999996</v>
      </c>
      <c r="O46" s="322"/>
      <c r="P46" s="311">
        <f>B42/B43*P45-P47</f>
        <v>-26.227500000000003</v>
      </c>
      <c r="Q46" s="323"/>
      <c r="R46" s="324"/>
      <c r="S46" s="324"/>
      <c r="T46" s="324"/>
      <c r="U46" s="325"/>
      <c r="V46" s="326"/>
      <c r="W46" s="327"/>
      <c r="X46" s="328"/>
      <c r="Y46" s="329"/>
      <c r="Z46" s="330"/>
      <c r="AA46" s="303"/>
    </row>
    <row r="47" spans="1:36" ht="73" thickBot="1">
      <c r="A47" s="310" t="s">
        <v>140</v>
      </c>
      <c r="B47" s="294">
        <v>75</v>
      </c>
      <c r="C47" s="295"/>
      <c r="D47" s="331">
        <v>74</v>
      </c>
      <c r="E47" s="130"/>
      <c r="F47" s="318">
        <v>74</v>
      </c>
      <c r="G47" s="320"/>
      <c r="H47" s="332">
        <v>65</v>
      </c>
      <c r="J47" s="321">
        <v>59</v>
      </c>
      <c r="K47" s="322"/>
      <c r="L47" s="321">
        <v>63</v>
      </c>
      <c r="M47" s="322"/>
      <c r="N47" s="333">
        <v>65</v>
      </c>
      <c r="O47" s="322"/>
      <c r="P47" s="334">
        <v>54</v>
      </c>
      <c r="Q47" s="335"/>
      <c r="R47" s="336"/>
      <c r="S47" s="325"/>
      <c r="T47" s="336"/>
      <c r="U47" s="325"/>
      <c r="V47" s="337"/>
      <c r="W47" s="338"/>
      <c r="X47" s="339"/>
      <c r="Y47" s="340"/>
      <c r="Z47" s="330"/>
      <c r="AA47" s="303"/>
    </row>
    <row r="48" spans="1:36" ht="120.75" customHeight="1" thickBot="1">
      <c r="A48" s="341" t="s">
        <v>142</v>
      </c>
      <c r="B48" s="342" t="s">
        <v>143</v>
      </c>
      <c r="C48" s="343">
        <v>75</v>
      </c>
      <c r="D48" s="344" t="s">
        <v>144</v>
      </c>
      <c r="E48" s="345">
        <v>74</v>
      </c>
      <c r="F48" s="346" t="s">
        <v>145</v>
      </c>
      <c r="G48" s="347">
        <v>74</v>
      </c>
      <c r="H48" s="346" t="s">
        <v>146</v>
      </c>
      <c r="I48" s="347">
        <v>65</v>
      </c>
      <c r="J48" s="346" t="s">
        <v>313</v>
      </c>
      <c r="K48" s="348">
        <v>59</v>
      </c>
      <c r="L48" s="349" t="s">
        <v>312</v>
      </c>
      <c r="M48" s="348">
        <v>63</v>
      </c>
      <c r="N48" s="349" t="s">
        <v>311</v>
      </c>
      <c r="O48" s="348">
        <v>65</v>
      </c>
      <c r="P48" s="350" t="s">
        <v>151</v>
      </c>
      <c r="Q48" s="351">
        <v>54</v>
      </c>
      <c r="R48" s="325"/>
      <c r="S48" s="303"/>
      <c r="T48" s="325"/>
      <c r="U48" s="303"/>
      <c r="V48" s="352"/>
      <c r="W48" s="353"/>
      <c r="X48" s="328"/>
      <c r="Y48" s="328"/>
      <c r="Z48" s="330"/>
      <c r="AA48" s="303"/>
      <c r="AC48" s="9" t="s">
        <v>152</v>
      </c>
    </row>
    <row r="49" spans="1:27">
      <c r="A49" s="303"/>
      <c r="B49" s="354"/>
      <c r="C49" s="354"/>
      <c r="D49" s="355"/>
      <c r="E49" s="354"/>
      <c r="F49" s="354"/>
      <c r="G49" s="354"/>
      <c r="H49" s="356"/>
      <c r="I49" s="354"/>
      <c r="J49" s="356"/>
      <c r="K49" s="354"/>
      <c r="L49" s="354"/>
      <c r="M49" s="354"/>
      <c r="N49" s="354"/>
      <c r="O49" s="354"/>
      <c r="P49" s="356"/>
      <c r="Q49" s="354"/>
      <c r="R49" s="354"/>
      <c r="S49" s="354"/>
      <c r="T49" s="354"/>
      <c r="U49" s="354"/>
      <c r="V49" s="354"/>
      <c r="W49" s="354"/>
      <c r="X49" s="354"/>
      <c r="Y49" s="354"/>
      <c r="Z49" s="303"/>
      <c r="AA49" s="303"/>
    </row>
    <row r="50" spans="1:27" ht="72">
      <c r="A50" s="357" t="s">
        <v>153</v>
      </c>
      <c r="B50" s="354">
        <f>14-J71+I71+K71</f>
        <v>11.35</v>
      </c>
      <c r="C50" s="354"/>
      <c r="D50" s="308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4"/>
      <c r="W50" s="354"/>
      <c r="X50" s="358"/>
      <c r="Y50" s="358"/>
    </row>
    <row r="51" spans="1:27" ht="72">
      <c r="A51" s="357" t="s">
        <v>154</v>
      </c>
      <c r="B51" s="359">
        <f>B42/B50</f>
        <v>46.607929515418505</v>
      </c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8"/>
      <c r="Y51" s="358"/>
    </row>
    <row r="52" spans="1:27" ht="72">
      <c r="A52" s="357" t="s">
        <v>155</v>
      </c>
      <c r="B52" s="354">
        <f>B44*B45</f>
        <v>68.77</v>
      </c>
      <c r="C52" s="354"/>
      <c r="D52" s="354">
        <f>B44*D45</f>
        <v>79.349999999999994</v>
      </c>
      <c r="E52" s="354"/>
      <c r="F52" s="354">
        <f>B44*F45</f>
        <v>52.899999999999991</v>
      </c>
      <c r="G52" s="354"/>
      <c r="H52" s="359">
        <f>B44*H45</f>
        <v>79.349999999999994</v>
      </c>
      <c r="I52" s="354"/>
      <c r="J52" s="354">
        <f>B44*J45</f>
        <v>79.349999999999994</v>
      </c>
      <c r="K52" s="354"/>
      <c r="L52" s="354">
        <f>B44*L45</f>
        <v>72.737499999999983</v>
      </c>
      <c r="M52" s="354"/>
      <c r="N52" s="359">
        <f>B44*N45</f>
        <v>68.77</v>
      </c>
      <c r="O52" s="354"/>
      <c r="P52" s="354">
        <f>B44*P45</f>
        <v>27.772499999999997</v>
      </c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 ht="72">
      <c r="A53" s="357" t="s">
        <v>738</v>
      </c>
      <c r="B53" s="354">
        <f>B52/B51</f>
        <v>1.4754999999999998</v>
      </c>
      <c r="C53" s="354"/>
      <c r="D53" s="354">
        <f>D52/B51</f>
        <v>1.7024999999999997</v>
      </c>
      <c r="E53" s="354"/>
      <c r="F53" s="354">
        <f>F52/B51</f>
        <v>1.1349999999999998</v>
      </c>
      <c r="G53" s="354"/>
      <c r="H53" s="354">
        <f>H52/B51</f>
        <v>1.7024999999999997</v>
      </c>
      <c r="I53" s="354"/>
      <c r="J53" s="354">
        <f>J52/B51</f>
        <v>1.7024999999999997</v>
      </c>
      <c r="K53" s="354"/>
      <c r="L53" s="354">
        <f>L52/B51</f>
        <v>1.5606249999999995</v>
      </c>
      <c r="M53" s="354"/>
      <c r="N53" s="359">
        <f>N52/B51</f>
        <v>1.4754999999999998</v>
      </c>
      <c r="O53" s="354"/>
      <c r="P53" s="354">
        <f>P52/B51</f>
        <v>0.59587499999999993</v>
      </c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54"/>
      <c r="Y54" s="354"/>
      <c r="Z54" s="303"/>
      <c r="AA54" s="303"/>
    </row>
    <row r="55" spans="1:27">
      <c r="A55" s="303"/>
      <c r="B55" s="354"/>
      <c r="C55" s="354"/>
      <c r="D55" s="354"/>
      <c r="E55" s="354"/>
      <c r="F55" s="354"/>
      <c r="G55" s="354"/>
      <c r="H55" s="354"/>
      <c r="I55" s="354"/>
      <c r="J55" s="354"/>
      <c r="K55" s="354"/>
      <c r="L55" s="354"/>
      <c r="M55" s="354"/>
      <c r="N55" s="354"/>
      <c r="O55" s="354"/>
      <c r="P55" s="354"/>
      <c r="Q55" s="354"/>
      <c r="R55" s="354"/>
      <c r="S55" s="354"/>
      <c r="T55" s="354"/>
      <c r="U55" s="354"/>
      <c r="V55" s="354"/>
      <c r="W55" s="354"/>
      <c r="X55" s="354"/>
      <c r="Y55" s="354"/>
      <c r="Z55" s="303"/>
      <c r="AA55" s="303"/>
    </row>
    <row r="56" spans="1:27" ht="36">
      <c r="A56" s="360" t="s">
        <v>157</v>
      </c>
      <c r="B56" s="361"/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158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03"/>
      <c r="B58" s="361" t="s">
        <v>159</v>
      </c>
      <c r="C58" s="362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3"/>
      <c r="X58" s="353"/>
      <c r="Y58" s="354"/>
      <c r="Z58" s="303"/>
      <c r="AA58" s="303"/>
    </row>
    <row r="59" spans="1:27">
      <c r="A59" s="303"/>
      <c r="B59" s="361" t="s">
        <v>160</v>
      </c>
      <c r="C59" s="361"/>
      <c r="D59" s="362"/>
      <c r="E59" s="362"/>
      <c r="F59" s="362"/>
      <c r="G59" s="362"/>
      <c r="H59" s="362"/>
      <c r="I59" s="362"/>
      <c r="J59" s="363"/>
      <c r="K59" s="353"/>
      <c r="L59" s="353"/>
      <c r="M59" s="353"/>
      <c r="N59" s="353"/>
      <c r="O59" s="353"/>
      <c r="P59" s="353"/>
      <c r="Q59" s="353"/>
      <c r="R59" s="353"/>
      <c r="S59" s="353"/>
      <c r="T59" s="353"/>
      <c r="U59" s="353"/>
      <c r="V59" s="353"/>
      <c r="W59" s="353"/>
      <c r="X59" s="353"/>
      <c r="Y59" s="354"/>
      <c r="Z59" s="303"/>
      <c r="AA59" s="303"/>
    </row>
    <row r="60" spans="1:27">
      <c r="A60" s="364"/>
      <c r="B60" s="361" t="s">
        <v>161</v>
      </c>
      <c r="C60" s="361"/>
      <c r="D60" s="361"/>
      <c r="E60" s="361"/>
      <c r="F60" s="361"/>
      <c r="G60" s="361"/>
      <c r="H60" s="361"/>
      <c r="I60" s="361"/>
      <c r="J60" s="365"/>
      <c r="K60" s="366"/>
      <c r="L60" s="366"/>
      <c r="M60" s="366"/>
      <c r="N60" s="366"/>
      <c r="O60" s="366"/>
      <c r="P60" s="366"/>
      <c r="Q60" s="366"/>
      <c r="R60" s="353"/>
      <c r="S60" s="353"/>
      <c r="T60" s="353"/>
      <c r="U60" s="353"/>
      <c r="V60" s="353"/>
      <c r="W60" s="353"/>
      <c r="X60" s="353"/>
      <c r="Y60" s="355"/>
      <c r="Z60" s="364"/>
      <c r="AA60" s="364"/>
    </row>
    <row r="61" spans="1:27">
      <c r="A61" s="364"/>
      <c r="B61" s="367" t="s">
        <v>324</v>
      </c>
      <c r="C61" s="366"/>
      <c r="D61" s="366"/>
      <c r="E61" s="365"/>
      <c r="F61" s="365"/>
      <c r="G61" s="365"/>
      <c r="H61" s="365"/>
      <c r="I61" s="365"/>
      <c r="J61" s="365"/>
      <c r="K61" s="366"/>
      <c r="L61" s="366"/>
      <c r="M61" s="366"/>
      <c r="N61" s="366"/>
      <c r="O61" s="366"/>
      <c r="P61" s="366"/>
      <c r="Q61" s="366"/>
      <c r="R61" s="366"/>
      <c r="S61" s="366"/>
      <c r="T61" s="366"/>
      <c r="U61" s="366"/>
      <c r="V61" s="366"/>
      <c r="W61" s="366"/>
      <c r="X61" s="353"/>
      <c r="Y61" s="355"/>
      <c r="Z61" s="364"/>
      <c r="AA61" s="364"/>
    </row>
    <row r="62" spans="1:27">
      <c r="A62" s="364"/>
      <c r="B62" s="366" t="s">
        <v>163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6" t="s">
        <v>164</v>
      </c>
      <c r="C63" s="366"/>
      <c r="D63" s="366"/>
      <c r="E63" s="366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325</v>
      </c>
      <c r="C64" s="367"/>
      <c r="D64" s="367"/>
      <c r="E64" s="367"/>
      <c r="F64" s="367"/>
      <c r="G64" s="367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166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64"/>
      <c r="B66" s="367" t="s">
        <v>167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6"/>
      <c r="R66" s="366"/>
      <c r="S66" s="368"/>
      <c r="T66" s="368"/>
      <c r="U66" s="368"/>
      <c r="V66" s="368"/>
      <c r="W66" s="368"/>
      <c r="X66" s="369"/>
      <c r="Y66" s="364"/>
      <c r="Z66" s="364"/>
      <c r="AA66" s="364"/>
    </row>
    <row r="67" spans="1:27">
      <c r="A67" s="364"/>
      <c r="B67" s="367" t="s">
        <v>168</v>
      </c>
      <c r="C67" s="370"/>
      <c r="D67" s="370"/>
      <c r="E67" s="371"/>
      <c r="F67" s="366"/>
      <c r="G67" s="366"/>
      <c r="H67" s="366"/>
      <c r="I67" s="366"/>
      <c r="J67" s="366"/>
      <c r="K67" s="366"/>
      <c r="L67" s="366"/>
      <c r="M67" s="366"/>
      <c r="N67" s="366"/>
      <c r="O67" s="366"/>
      <c r="P67" s="366"/>
      <c r="Q67" s="366"/>
      <c r="R67" s="366"/>
      <c r="S67" s="368"/>
      <c r="T67" s="368"/>
      <c r="U67" s="368"/>
      <c r="V67" s="368"/>
      <c r="W67" s="368"/>
      <c r="X67" s="369"/>
      <c r="Y67" s="364"/>
      <c r="Z67" s="364"/>
      <c r="AA67" s="364"/>
    </row>
    <row r="68" spans="1:27">
      <c r="A68" s="372" t="s">
        <v>169</v>
      </c>
      <c r="B68" s="373"/>
      <c r="C68" s="366"/>
      <c r="D68" s="366"/>
      <c r="E68" s="366"/>
      <c r="F68" s="366"/>
      <c r="G68" s="374"/>
      <c r="H68" s="374"/>
      <c r="I68" s="374"/>
      <c r="J68" s="374"/>
      <c r="K68" s="374"/>
      <c r="L68" s="374"/>
      <c r="M68" s="374"/>
      <c r="N68" s="374"/>
      <c r="O68" s="374"/>
      <c r="P68" s="374"/>
      <c r="Q68" s="374"/>
      <c r="R68" s="374"/>
      <c r="S68" s="374"/>
      <c r="T68" s="374"/>
      <c r="U68" s="374"/>
      <c r="V68" s="374"/>
      <c r="W68" s="374"/>
      <c r="X68" s="374"/>
      <c r="Y68" s="374"/>
      <c r="Z68" s="374"/>
      <c r="AA68" s="374"/>
    </row>
    <row r="69" spans="1:27">
      <c r="A69" s="306"/>
      <c r="B69" s="373"/>
      <c r="C69" s="366"/>
      <c r="D69" s="366"/>
      <c r="E69" s="366"/>
      <c r="F69" s="366"/>
      <c r="G69" s="306"/>
      <c r="H69" s="306"/>
      <c r="I69" s="306"/>
      <c r="J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B70" s="375" t="s">
        <v>170</v>
      </c>
      <c r="C70" s="376" t="s">
        <v>171</v>
      </c>
      <c r="D70" s="376" t="s">
        <v>172</v>
      </c>
      <c r="E70" s="376" t="s">
        <v>53</v>
      </c>
      <c r="F70" s="376" t="s">
        <v>7</v>
      </c>
      <c r="G70" s="376" t="s">
        <v>173</v>
      </c>
      <c r="H70" s="376" t="s">
        <v>174</v>
      </c>
      <c r="I70" s="377" t="s">
        <v>175</v>
      </c>
      <c r="J70" s="375" t="s">
        <v>176</v>
      </c>
      <c r="K70" s="378" t="s">
        <v>177</v>
      </c>
      <c r="L70" s="379"/>
      <c r="M70" s="379"/>
      <c r="N70" s="379"/>
      <c r="O70" s="379"/>
      <c r="P70" s="306"/>
      <c r="Q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1" spans="1:27">
      <c r="B71" s="376"/>
      <c r="C71" s="376">
        <v>0.75</v>
      </c>
      <c r="D71" s="376" t="s">
        <v>178</v>
      </c>
      <c r="E71" s="376">
        <v>0.25</v>
      </c>
      <c r="F71" s="376">
        <f>Q19</f>
        <v>0.4</v>
      </c>
      <c r="G71" s="380">
        <v>1.25</v>
      </c>
      <c r="H71" s="376">
        <v>0</v>
      </c>
      <c r="I71" s="377">
        <v>0</v>
      </c>
      <c r="J71" s="376">
        <f>SUM(C71:H71)</f>
        <v>2.65</v>
      </c>
      <c r="K71" s="378">
        <v>0</v>
      </c>
      <c r="L71" s="379"/>
      <c r="M71" s="379"/>
      <c r="N71" s="379"/>
      <c r="O71" s="379"/>
      <c r="P71" s="306"/>
      <c r="Q71" s="306"/>
      <c r="R71" s="306"/>
      <c r="S71" s="306"/>
      <c r="T71" s="306"/>
      <c r="U71" s="306"/>
      <c r="V71" s="306"/>
      <c r="W71" s="306"/>
      <c r="X71" s="306"/>
      <c r="Y71" s="306"/>
      <c r="Z71" s="306"/>
      <c r="AA71" s="306"/>
    </row>
    <row r="72" spans="1:27">
      <c r="A72" s="306"/>
      <c r="B72" s="306"/>
      <c r="C72" s="306"/>
      <c r="D72" s="306"/>
      <c r="F72" s="306"/>
      <c r="G72" s="306"/>
      <c r="H72" s="306"/>
      <c r="I72" s="306"/>
      <c r="J72" s="306"/>
      <c r="K72" s="306"/>
      <c r="L72" s="306"/>
      <c r="M72" s="306"/>
      <c r="N72" s="306"/>
      <c r="O72" s="306"/>
      <c r="P72" s="306"/>
      <c r="R72" s="306"/>
      <c r="S72" s="306"/>
      <c r="T72" s="306"/>
      <c r="U72" s="306"/>
      <c r="V72" s="306"/>
      <c r="W72" s="306"/>
      <c r="X72" s="306"/>
      <c r="Y72" s="306"/>
      <c r="Z72" s="306"/>
      <c r="AA72" s="306"/>
    </row>
    <row r="74" spans="1:27" ht="72">
      <c r="A74" s="381" t="s">
        <v>179</v>
      </c>
      <c r="B74" s="382" t="s">
        <v>180</v>
      </c>
      <c r="C74" s="382">
        <v>0</v>
      </c>
      <c r="D74" s="382">
        <v>0</v>
      </c>
    </row>
    <row r="75" spans="1:27">
      <c r="A75" s="382"/>
      <c r="B75" s="382" t="s">
        <v>181</v>
      </c>
      <c r="C75" s="382">
        <f>IF(OR(E1="Wednesday",E1="Friday"),0.75,0.5)</f>
        <v>0.75</v>
      </c>
      <c r="D75" s="382">
        <f>IF(OR(E1="Monday",E1="Friday"),0.25,0.5)</f>
        <v>0.5</v>
      </c>
    </row>
    <row r="76" spans="1:27">
      <c r="A76" s="382"/>
      <c r="B76" s="382" t="s">
        <v>182</v>
      </c>
      <c r="C76" s="382">
        <f>0.25</f>
        <v>0.25</v>
      </c>
      <c r="D76" s="382"/>
      <c r="K76" s="306"/>
      <c r="L76" s="306"/>
      <c r="M76" s="306"/>
      <c r="N76" s="306"/>
      <c r="O76" s="306"/>
    </row>
    <row r="79" spans="1:27">
      <c r="A79" s="383"/>
    </row>
    <row r="83" spans="1:3">
      <c r="A83" s="8" t="s">
        <v>183</v>
      </c>
    </row>
    <row r="84" spans="1:3">
      <c r="A84" s="8" t="s">
        <v>184</v>
      </c>
      <c r="B84" s="8" t="s">
        <v>185</v>
      </c>
    </row>
    <row r="85" spans="1:3">
      <c r="B85" s="8" t="s">
        <v>186</v>
      </c>
    </row>
    <row r="87" spans="1:3">
      <c r="B87" s="8" t="s">
        <v>187</v>
      </c>
    </row>
    <row r="91" spans="1:3">
      <c r="C91" s="384"/>
    </row>
    <row r="100" spans="16:20">
      <c r="P100" s="385"/>
      <c r="Q100" s="385"/>
      <c r="R100" s="385"/>
      <c r="S100" s="385"/>
      <c r="T100" s="385"/>
    </row>
    <row r="101" spans="16:20">
      <c r="P101" s="386"/>
      <c r="Q101" s="386"/>
      <c r="R101" s="386"/>
      <c r="S101" s="386"/>
      <c r="T101" s="386"/>
    </row>
    <row r="102" spans="16:20">
      <c r="P102" s="386"/>
      <c r="Q102" s="386"/>
      <c r="R102" s="386"/>
      <c r="S102" s="386"/>
      <c r="T102" s="386"/>
    </row>
    <row r="103" spans="16:20" ht="36" thickBot="1">
      <c r="P103" s="387"/>
      <c r="Q103" s="387"/>
      <c r="R103" s="387"/>
      <c r="S103" s="388"/>
      <c r="T103" s="389"/>
    </row>
  </sheetData>
  <mergeCells count="6">
    <mergeCell ref="V42:Y43"/>
    <mergeCell ref="R3:U3"/>
    <mergeCell ref="R19:U20"/>
    <mergeCell ref="R21:U21"/>
    <mergeCell ref="S23:U23"/>
    <mergeCell ref="R24:U25"/>
  </mergeCells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J106"/>
  <sheetViews>
    <sheetView zoomScale="30" zoomScaleNormal="30" workbookViewId="0">
      <selection activeCell="N19" sqref="N19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45967</v>
      </c>
      <c r="E1" s="3" t="s">
        <v>390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82" t="s">
        <v>196</v>
      </c>
      <c r="C3" s="483"/>
      <c r="D3" s="482" t="s">
        <v>25</v>
      </c>
      <c r="E3" s="487" t="s">
        <v>39</v>
      </c>
      <c r="F3" s="484" t="s">
        <v>198</v>
      </c>
      <c r="G3" s="485"/>
      <c r="H3" s="486" t="s">
        <v>47</v>
      </c>
      <c r="I3" s="485"/>
      <c r="J3" s="482" t="s">
        <v>297</v>
      </c>
      <c r="K3" s="485"/>
      <c r="L3" s="482" t="s">
        <v>301</v>
      </c>
      <c r="M3" s="485"/>
      <c r="N3" s="482" t="s">
        <v>15</v>
      </c>
      <c r="O3" s="485"/>
      <c r="P3" s="482" t="s">
        <v>28</v>
      </c>
      <c r="Q3" s="483"/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82" t="s">
        <v>33</v>
      </c>
      <c r="C4" s="483"/>
      <c r="D4" s="482" t="s">
        <v>34</v>
      </c>
      <c r="E4" s="483"/>
      <c r="F4" s="482" t="s">
        <v>299</v>
      </c>
      <c r="G4" s="485"/>
      <c r="H4" s="482" t="s">
        <v>37</v>
      </c>
      <c r="I4" s="485"/>
      <c r="J4" s="482" t="s">
        <v>298</v>
      </c>
      <c r="K4" s="488"/>
      <c r="L4" s="482" t="s">
        <v>27</v>
      </c>
      <c r="M4" s="488"/>
      <c r="N4" s="482" t="s">
        <v>38</v>
      </c>
      <c r="O4" s="485"/>
      <c r="P4" s="482" t="s">
        <v>50</v>
      </c>
      <c r="Q4" s="485">
        <v>0.75</v>
      </c>
      <c r="R4" s="33" t="s">
        <v>305</v>
      </c>
      <c r="S4" s="34"/>
      <c r="T4" s="34" t="s">
        <v>304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.75" customHeight="1">
      <c r="A5" s="40"/>
      <c r="B5" s="482" t="s">
        <v>22</v>
      </c>
      <c r="C5" s="483"/>
      <c r="D5" s="482" t="s">
        <v>23</v>
      </c>
      <c r="E5" s="485"/>
      <c r="F5" s="482" t="s">
        <v>300</v>
      </c>
      <c r="G5" s="485"/>
      <c r="H5" s="482" t="s">
        <v>308</v>
      </c>
      <c r="I5" s="484"/>
      <c r="J5" s="482" t="s">
        <v>26</v>
      </c>
      <c r="K5" s="485"/>
      <c r="L5" s="489" t="s">
        <v>315</v>
      </c>
      <c r="M5" s="485">
        <v>0.75</v>
      </c>
      <c r="N5" s="482" t="s">
        <v>302</v>
      </c>
      <c r="O5" s="485"/>
      <c r="P5" s="482" t="s">
        <v>13</v>
      </c>
      <c r="Q5" s="540" t="s">
        <v>39</v>
      </c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82"/>
      <c r="C6" s="484"/>
      <c r="D6" s="46"/>
      <c r="F6" s="482"/>
      <c r="G6" s="485"/>
      <c r="H6" s="482"/>
      <c r="I6" s="484"/>
      <c r="J6" s="482"/>
      <c r="K6" s="485"/>
      <c r="L6" s="482"/>
      <c r="M6" s="483"/>
      <c r="N6" s="482"/>
      <c r="O6" s="484"/>
      <c r="P6" s="482"/>
      <c r="Q6" s="485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82"/>
      <c r="C7" s="485"/>
      <c r="D7" s="482"/>
      <c r="E7" s="485"/>
      <c r="F7" s="482"/>
      <c r="G7" s="487"/>
      <c r="H7" s="482"/>
      <c r="I7" s="485"/>
      <c r="J7" s="482"/>
      <c r="K7" s="483"/>
      <c r="L7" s="490"/>
      <c r="M7" s="483"/>
      <c r="N7" s="482"/>
      <c r="O7" s="485"/>
      <c r="P7" s="491"/>
      <c r="Q7" s="487"/>
      <c r="R7" s="20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92"/>
      <c r="C8" s="493"/>
      <c r="D8" s="492"/>
      <c r="E8" s="485"/>
      <c r="F8" s="482"/>
      <c r="G8" s="484"/>
      <c r="H8" s="482"/>
      <c r="I8" s="484"/>
      <c r="J8" s="492"/>
      <c r="K8" s="494" t="s">
        <v>45</v>
      </c>
      <c r="L8" s="495"/>
      <c r="M8" s="494"/>
      <c r="N8" s="482"/>
      <c r="O8" s="485"/>
      <c r="P8" s="492"/>
      <c r="Q8" s="496"/>
      <c r="R8" s="403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97"/>
      <c r="C9" s="498">
        <v>3</v>
      </c>
      <c r="D9" s="499"/>
      <c r="E9" s="498">
        <v>2.5</v>
      </c>
      <c r="F9" s="499"/>
      <c r="G9" s="498">
        <v>3</v>
      </c>
      <c r="H9" s="500">
        <v>3</v>
      </c>
      <c r="I9" s="498">
        <f>H9-I11</f>
        <v>3</v>
      </c>
      <c r="J9" s="499"/>
      <c r="K9" s="498">
        <v>3</v>
      </c>
      <c r="L9" s="499">
        <v>2.75</v>
      </c>
      <c r="M9" s="498">
        <f>L9-M11</f>
        <v>2.75</v>
      </c>
      <c r="N9" s="501">
        <v>3</v>
      </c>
      <c r="O9" s="498">
        <f>N9-O11</f>
        <v>3</v>
      </c>
      <c r="P9" s="492">
        <v>2.25</v>
      </c>
      <c r="Q9" s="502">
        <f>P9-Q11</f>
        <v>1.55</v>
      </c>
      <c r="R9" s="40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503"/>
      <c r="C10" s="504"/>
      <c r="D10" s="501"/>
      <c r="E10" s="505"/>
      <c r="F10" s="506"/>
      <c r="G10" s="507"/>
      <c r="H10" s="508"/>
      <c r="I10" s="505"/>
      <c r="J10" s="503"/>
      <c r="K10" s="509"/>
      <c r="L10" s="510"/>
      <c r="M10" s="509"/>
      <c r="N10" s="482"/>
      <c r="O10" s="484"/>
      <c r="P10" s="492"/>
      <c r="Q10" s="487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511"/>
      <c r="C11" s="512"/>
      <c r="D11" s="513"/>
      <c r="E11" s="514"/>
      <c r="F11" s="515"/>
      <c r="G11" s="512"/>
      <c r="H11" s="516" t="s">
        <v>53</v>
      </c>
      <c r="I11" s="517">
        <v>0</v>
      </c>
      <c r="J11" s="515"/>
      <c r="K11" s="518"/>
      <c r="L11" s="516" t="s">
        <v>53</v>
      </c>
      <c r="M11" s="518">
        <v>0</v>
      </c>
      <c r="N11" s="516" t="s">
        <v>53</v>
      </c>
      <c r="O11" s="517">
        <v>0</v>
      </c>
      <c r="P11" s="515" t="s">
        <v>54</v>
      </c>
      <c r="Q11" s="519">
        <v>0.7</v>
      </c>
      <c r="R11" s="473" t="s">
        <v>316</v>
      </c>
      <c r="S11" s="474" t="s">
        <v>320</v>
      </c>
      <c r="T11" s="481" t="s">
        <v>322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520" t="s">
        <v>303</v>
      </c>
      <c r="C12" s="521" t="s">
        <v>213</v>
      </c>
      <c r="D12" s="522" t="s">
        <v>60</v>
      </c>
      <c r="E12" s="521" t="s">
        <v>213</v>
      </c>
      <c r="F12" s="523" t="s">
        <v>327</v>
      </c>
      <c r="G12" s="524" t="s">
        <v>213</v>
      </c>
      <c r="H12" s="520" t="s">
        <v>306</v>
      </c>
      <c r="I12" s="521" t="s">
        <v>39</v>
      </c>
      <c r="J12" s="523" t="s">
        <v>63</v>
      </c>
      <c r="K12" s="524" t="s">
        <v>213</v>
      </c>
      <c r="L12" s="525" t="s">
        <v>219</v>
      </c>
      <c r="M12" s="524" t="s">
        <v>213</v>
      </c>
      <c r="N12" s="522" t="s">
        <v>64</v>
      </c>
      <c r="O12" s="524" t="s">
        <v>213</v>
      </c>
      <c r="P12" s="666" t="s">
        <v>409</v>
      </c>
      <c r="Q12" s="667" t="s">
        <v>213</v>
      </c>
      <c r="R12" s="474" t="s">
        <v>317</v>
      </c>
      <c r="S12" s="474" t="s">
        <v>399</v>
      </c>
      <c r="T12" s="47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27" t="s">
        <v>263</v>
      </c>
      <c r="C13" s="528" t="s">
        <v>36</v>
      </c>
      <c r="D13" s="529" t="s">
        <v>67</v>
      </c>
      <c r="E13" s="524" t="s">
        <v>87</v>
      </c>
      <c r="F13" s="527" t="s">
        <v>66</v>
      </c>
      <c r="G13" s="528" t="s">
        <v>72</v>
      </c>
      <c r="H13" s="661" t="s">
        <v>410</v>
      </c>
      <c r="I13" s="663" t="s">
        <v>36</v>
      </c>
      <c r="J13" s="531" t="s">
        <v>382</v>
      </c>
      <c r="K13" s="528" t="s">
        <v>87</v>
      </c>
      <c r="L13" s="527" t="s">
        <v>189</v>
      </c>
      <c r="M13" s="185" t="s">
        <v>384</v>
      </c>
      <c r="N13" s="535" t="s">
        <v>382</v>
      </c>
      <c r="O13" s="484" t="s">
        <v>74</v>
      </c>
      <c r="P13" s="529" t="s">
        <v>67</v>
      </c>
      <c r="Q13" s="524" t="s">
        <v>74</v>
      </c>
      <c r="R13" s="472" t="s">
        <v>326</v>
      </c>
      <c r="S13" s="474" t="s">
        <v>319</v>
      </c>
      <c r="T13" s="55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12.5" customHeight="1">
      <c r="A14" s="96"/>
      <c r="B14" s="530"/>
      <c r="C14" s="528"/>
      <c r="D14" s="532"/>
      <c r="E14" s="528"/>
      <c r="F14" s="533" t="s">
        <v>67</v>
      </c>
      <c r="G14" s="534" t="s">
        <v>72</v>
      </c>
      <c r="H14" s="530" t="s">
        <v>411</v>
      </c>
      <c r="I14" s="528" t="s">
        <v>408</v>
      </c>
      <c r="J14" s="46"/>
      <c r="L14" s="46"/>
      <c r="N14" s="536" t="s">
        <v>412</v>
      </c>
      <c r="O14" s="484" t="s">
        <v>78</v>
      </c>
      <c r="P14" s="529"/>
      <c r="Q14" s="484"/>
      <c r="R14" s="472" t="s">
        <v>389</v>
      </c>
      <c r="S14" s="474" t="s">
        <v>356</v>
      </c>
      <c r="T14" s="55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14" customHeight="1">
      <c r="A15" s="40"/>
      <c r="B15" s="535"/>
      <c r="C15" s="537"/>
      <c r="D15" s="538"/>
      <c r="E15" s="528"/>
      <c r="F15" s="530"/>
      <c r="G15" s="528"/>
      <c r="H15" s="539" t="s">
        <v>67</v>
      </c>
      <c r="I15" s="537" t="s">
        <v>78</v>
      </c>
      <c r="J15" s="46"/>
      <c r="L15" s="506"/>
      <c r="M15" s="537"/>
      <c r="N15" s="535"/>
      <c r="O15" s="528"/>
      <c r="P15" s="506"/>
      <c r="Q15" s="524"/>
      <c r="R15" s="472" t="s">
        <v>321</v>
      </c>
      <c r="S15" s="473" t="s">
        <v>318</v>
      </c>
      <c r="T15" s="55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ht="114" customHeight="1">
      <c r="A16" s="40"/>
      <c r="B16" s="535"/>
      <c r="C16" s="537"/>
      <c r="D16" s="538"/>
      <c r="E16" s="528"/>
      <c r="F16" s="530"/>
      <c r="G16" s="528"/>
      <c r="H16" s="539"/>
      <c r="I16" s="537"/>
      <c r="J16" s="46"/>
      <c r="L16" s="506"/>
      <c r="M16" s="537"/>
      <c r="N16" s="535"/>
      <c r="O16" s="528"/>
      <c r="P16" s="506"/>
      <c r="Q16" s="524"/>
      <c r="R16" s="474"/>
      <c r="S16" s="473"/>
      <c r="T16" s="55"/>
      <c r="U16" s="402"/>
      <c r="V16" s="122"/>
      <c r="W16" s="123"/>
      <c r="X16" s="38"/>
      <c r="Y16" s="38"/>
      <c r="AF16" s="8"/>
      <c r="AG16" s="8"/>
    </row>
    <row r="17" spans="1:62" ht="114" customHeight="1">
      <c r="A17" s="40"/>
      <c r="B17" s="535"/>
      <c r="C17" s="537"/>
      <c r="D17" s="538"/>
      <c r="E17" s="528"/>
      <c r="F17" s="530"/>
      <c r="G17" s="528"/>
      <c r="H17" s="539"/>
      <c r="I17" s="537"/>
      <c r="J17" s="46"/>
      <c r="L17" s="506"/>
      <c r="M17" s="537"/>
      <c r="N17" s="535"/>
      <c r="O17" s="528"/>
      <c r="P17" s="506"/>
      <c r="Q17" s="524"/>
      <c r="R17" s="474"/>
      <c r="S17" s="473"/>
      <c r="T17" s="55"/>
      <c r="U17" s="402"/>
      <c r="V17" s="122"/>
      <c r="W17" s="123"/>
      <c r="X17" s="38"/>
      <c r="Y17" s="38"/>
      <c r="AF17" s="8"/>
      <c r="AG17" s="8"/>
    </row>
    <row r="18" spans="1:62" ht="114" customHeight="1">
      <c r="A18" s="40"/>
      <c r="B18" s="535"/>
      <c r="C18" s="537"/>
      <c r="D18" s="538"/>
      <c r="E18" s="528"/>
      <c r="F18" s="530"/>
      <c r="G18" s="528"/>
      <c r="H18" s="539"/>
      <c r="I18" s="537"/>
      <c r="J18" s="46"/>
      <c r="L18" s="506"/>
      <c r="M18" s="537"/>
      <c r="N18" s="535"/>
      <c r="O18" s="528"/>
      <c r="P18" s="506"/>
      <c r="Q18" s="524"/>
      <c r="R18" s="474"/>
      <c r="S18" s="473"/>
      <c r="T18" s="55"/>
      <c r="U18" s="402"/>
      <c r="V18" s="122"/>
      <c r="W18" s="123"/>
      <c r="X18" s="38"/>
      <c r="Y18" s="38"/>
      <c r="AF18" s="8"/>
      <c r="AG18" s="8"/>
    </row>
    <row r="19" spans="1:62" ht="114" customHeight="1">
      <c r="A19" s="40"/>
      <c r="B19" s="535"/>
      <c r="C19" s="537"/>
      <c r="D19" s="538"/>
      <c r="E19" s="528"/>
      <c r="F19" s="530"/>
      <c r="G19" s="528"/>
      <c r="H19" s="539"/>
      <c r="I19" s="537"/>
      <c r="J19" s="46"/>
      <c r="L19" s="506"/>
      <c r="M19" s="537"/>
      <c r="N19" s="535"/>
      <c r="O19" s="528"/>
      <c r="P19" s="506"/>
      <c r="Q19" s="524"/>
      <c r="R19" s="474"/>
      <c r="S19" s="473"/>
      <c r="T19" s="55"/>
      <c r="U19" s="402"/>
      <c r="V19" s="122"/>
      <c r="W19" s="123"/>
      <c r="X19" s="38"/>
      <c r="Y19" s="38"/>
      <c r="AF19" s="8"/>
      <c r="AG19" s="8"/>
    </row>
    <row r="20" spans="1:62" ht="154" customHeight="1">
      <c r="A20" s="40"/>
      <c r="B20" s="527" t="s">
        <v>263</v>
      </c>
      <c r="C20" s="537" t="s">
        <v>465</v>
      </c>
      <c r="D20" s="529" t="s">
        <v>67</v>
      </c>
      <c r="E20" s="528" t="s">
        <v>749</v>
      </c>
      <c r="F20" s="529" t="s">
        <v>67</v>
      </c>
      <c r="G20" s="528" t="s">
        <v>220</v>
      </c>
      <c r="H20" s="530" t="s">
        <v>411</v>
      </c>
      <c r="I20" s="528" t="s">
        <v>220</v>
      </c>
      <c r="J20" s="531" t="s">
        <v>382</v>
      </c>
      <c r="K20" s="484" t="s">
        <v>744</v>
      </c>
      <c r="L20" s="527" t="s">
        <v>189</v>
      </c>
      <c r="M20" s="528" t="s">
        <v>744</v>
      </c>
      <c r="N20" s="527" t="s">
        <v>189</v>
      </c>
      <c r="O20" s="524" t="s">
        <v>743</v>
      </c>
      <c r="P20" s="506"/>
      <c r="Q20" s="524"/>
      <c r="R20" s="474"/>
      <c r="S20" s="473"/>
      <c r="T20" s="55"/>
      <c r="U20" s="402"/>
      <c r="V20" s="122"/>
      <c r="W20" s="123"/>
      <c r="X20" s="38"/>
      <c r="Y20" s="38"/>
      <c r="AF20" s="8"/>
      <c r="AG20" s="8"/>
    </row>
    <row r="21" spans="1:62" s="130" customFormat="1" ht="178" customHeight="1" thickBot="1">
      <c r="A21" s="124"/>
      <c r="B21" s="527"/>
      <c r="C21" s="528"/>
      <c r="D21" s="125"/>
      <c r="E21" s="428"/>
      <c r="F21" s="527" t="s">
        <v>66</v>
      </c>
      <c r="G21" s="528" t="s">
        <v>220</v>
      </c>
      <c r="H21" s="530" t="s">
        <v>410</v>
      </c>
      <c r="I21" s="528" t="s">
        <v>749</v>
      </c>
      <c r="J21" s="529" t="s">
        <v>67</v>
      </c>
      <c r="K21" s="575" t="s">
        <v>744</v>
      </c>
      <c r="L21" s="529" t="s">
        <v>67</v>
      </c>
      <c r="M21" s="575" t="s">
        <v>739</v>
      </c>
      <c r="N21" s="535"/>
      <c r="O21" s="524"/>
      <c r="P21" s="431"/>
      <c r="Q21" s="52"/>
      <c r="R21" s="471" t="s">
        <v>332</v>
      </c>
      <c r="S21" s="476" t="s">
        <v>357</v>
      </c>
      <c r="T21" s="55"/>
      <c r="U21" s="400"/>
      <c r="V21" s="132" t="s">
        <v>84</v>
      </c>
      <c r="W21" s="133"/>
      <c r="X21" s="134"/>
      <c r="Y21" s="134"/>
      <c r="AA21" s="135"/>
      <c r="AB21" s="8"/>
      <c r="AC21" s="136"/>
      <c r="AD21" s="8"/>
      <c r="AE21" s="136" t="s">
        <v>81</v>
      </c>
    </row>
    <row r="22" spans="1:62" ht="110" customHeight="1">
      <c r="A22" s="40"/>
      <c r="B22" s="532"/>
      <c r="C22" s="541"/>
      <c r="D22" s="542" t="s">
        <v>263</v>
      </c>
      <c r="E22" s="543" t="s">
        <v>85</v>
      </c>
      <c r="F22" s="542" t="s">
        <v>249</v>
      </c>
      <c r="G22" s="544" t="s">
        <v>78</v>
      </c>
      <c r="H22" s="545"/>
      <c r="I22" s="546"/>
      <c r="J22" s="482"/>
      <c r="K22" s="484"/>
      <c r="L22" s="482"/>
      <c r="M22" s="484"/>
      <c r="N22" s="545"/>
      <c r="O22" s="546"/>
      <c r="P22" s="547" t="s">
        <v>54</v>
      </c>
      <c r="Q22" s="548">
        <v>0.4</v>
      </c>
      <c r="R22" s="678" t="s">
        <v>348</v>
      </c>
      <c r="S22" s="679"/>
      <c r="T22" s="680"/>
      <c r="U22" s="681"/>
      <c r="V22" s="143" t="s">
        <v>88</v>
      </c>
      <c r="W22" s="123"/>
      <c r="X22" s="38"/>
      <c r="Y22" s="38"/>
      <c r="AA22" s="144"/>
      <c r="AB22" s="145"/>
      <c r="AC22" s="136"/>
      <c r="AD22" s="146"/>
      <c r="AF22" s="8"/>
      <c r="AG22" s="8"/>
    </row>
    <row r="23" spans="1:62" ht="100" customHeight="1" thickBot="1">
      <c r="A23" s="147"/>
      <c r="B23" s="549">
        <f>B56</f>
        <v>1.5344036697247709</v>
      </c>
      <c r="C23" s="550"/>
      <c r="D23" s="549">
        <f>D56</f>
        <v>1.2786697247706422</v>
      </c>
      <c r="E23" s="551"/>
      <c r="F23" s="549">
        <f>F56</f>
        <v>1.5344036697247709</v>
      </c>
      <c r="G23" s="550"/>
      <c r="H23" s="549">
        <f>H56</f>
        <v>1.5344036697247709</v>
      </c>
      <c r="I23" s="550"/>
      <c r="J23" s="552">
        <f>J56</f>
        <v>1.5344036697247709</v>
      </c>
      <c r="K23" s="550"/>
      <c r="L23" s="552">
        <f>L56</f>
        <v>1.4065366972477065</v>
      </c>
      <c r="M23" s="550"/>
      <c r="N23" s="549">
        <f>N56</f>
        <v>1.5344036697247709</v>
      </c>
      <c r="O23" s="551"/>
      <c r="P23" s="553">
        <f>P56</f>
        <v>0.79277522935779832</v>
      </c>
      <c r="Q23" s="551">
        <f>P23+Q22</f>
        <v>1.1927752293577982</v>
      </c>
      <c r="R23" s="682"/>
      <c r="S23" s="683"/>
      <c r="T23" s="683"/>
      <c r="U23" s="684"/>
      <c r="V23" s="153" t="s">
        <v>89</v>
      </c>
      <c r="W23" s="154"/>
      <c r="X23" s="94"/>
      <c r="Y23" s="94"/>
      <c r="AA23" s="155"/>
      <c r="AB23" s="156"/>
      <c r="AC23" s="157"/>
      <c r="AD23" s="146"/>
      <c r="AF23" s="8"/>
      <c r="AG23" s="8"/>
    </row>
    <row r="24" spans="1:62" ht="408.75" customHeight="1" thickTop="1">
      <c r="A24" s="51"/>
      <c r="B24" s="565"/>
      <c r="C24" s="566"/>
      <c r="D24" s="565"/>
      <c r="E24" s="566"/>
      <c r="F24" s="565"/>
      <c r="G24" s="560"/>
      <c r="H24" s="565" t="s">
        <v>349</v>
      </c>
      <c r="I24" s="566" t="s">
        <v>417</v>
      </c>
      <c r="J24" s="565" t="s">
        <v>415</v>
      </c>
      <c r="K24" s="578" t="s">
        <v>416</v>
      </c>
      <c r="L24" s="561" t="s">
        <v>419</v>
      </c>
      <c r="M24" s="562" t="s">
        <v>420</v>
      </c>
      <c r="N24" s="565" t="s">
        <v>349</v>
      </c>
      <c r="O24" s="566" t="s">
        <v>418</v>
      </c>
      <c r="P24" s="565"/>
      <c r="Q24" s="566"/>
      <c r="R24" s="685" t="s">
        <v>90</v>
      </c>
      <c r="S24" s="686"/>
      <c r="T24" s="686"/>
      <c r="U24" s="687"/>
      <c r="V24" s="161"/>
      <c r="W24" s="117"/>
      <c r="X24" s="162"/>
      <c r="Y24" s="38"/>
      <c r="AA24" s="155"/>
      <c r="AB24" s="156"/>
      <c r="AC24" s="157"/>
      <c r="AD24" s="146"/>
      <c r="AF24" s="8"/>
      <c r="AG24" s="8"/>
      <c r="BI24" s="8" t="s">
        <v>91</v>
      </c>
      <c r="BJ24" s="8" t="s">
        <v>92</v>
      </c>
    </row>
    <row r="25" spans="1:62" ht="400" customHeight="1" thickBot="1">
      <c r="A25" s="51"/>
      <c r="B25" s="559"/>
      <c r="C25" s="559"/>
      <c r="D25" s="558"/>
      <c r="E25" s="559"/>
      <c r="F25" s="563"/>
      <c r="G25" s="562"/>
      <c r="H25" s="564"/>
      <c r="I25" s="559"/>
      <c r="J25" s="558"/>
      <c r="K25" s="559"/>
      <c r="L25" s="558"/>
      <c r="M25" s="559"/>
      <c r="N25" s="558"/>
      <c r="O25" s="559"/>
      <c r="P25" s="558"/>
      <c r="Q25" s="559"/>
      <c r="R25" s="163"/>
      <c r="S25" s="164"/>
      <c r="T25" s="164"/>
      <c r="U25" s="165"/>
      <c r="V25" s="161"/>
      <c r="W25" s="117"/>
      <c r="X25" s="162"/>
      <c r="Y25" s="38"/>
      <c r="AA25" s="155"/>
      <c r="AB25" s="156"/>
      <c r="AC25" s="157"/>
      <c r="AD25" s="146"/>
      <c r="AF25" s="8"/>
      <c r="AG25" s="8"/>
    </row>
    <row r="26" spans="1:62" ht="388.5" customHeight="1" thickBot="1">
      <c r="A26" s="51"/>
      <c r="B26" s="56"/>
      <c r="C26" s="107"/>
      <c r="D26" s="56"/>
      <c r="E26" s="107"/>
      <c r="F26" s="72"/>
      <c r="G26" s="167"/>
      <c r="H26" s="159"/>
      <c r="I26" s="107"/>
      <c r="J26" s="24"/>
      <c r="K26" s="160"/>
      <c r="L26" s="56"/>
      <c r="M26" s="107"/>
      <c r="N26" s="24"/>
      <c r="O26" s="107"/>
      <c r="P26" s="24"/>
      <c r="Q26" s="20"/>
      <c r="R26" s="168"/>
      <c r="S26" s="691" t="s">
        <v>93</v>
      </c>
      <c r="T26" s="691"/>
      <c r="U26" s="692"/>
      <c r="V26" s="161"/>
      <c r="W26" s="117"/>
      <c r="X26" s="162"/>
      <c r="Y26" s="38"/>
      <c r="AA26" s="155"/>
      <c r="AB26" s="156"/>
      <c r="AC26" s="157"/>
      <c r="AD26" s="146"/>
      <c r="AF26" s="8"/>
      <c r="AG26" s="8"/>
    </row>
    <row r="27" spans="1:62" ht="60">
      <c r="A27" s="19"/>
      <c r="D27" s="46"/>
      <c r="F27" s="170"/>
      <c r="G27" s="171"/>
      <c r="H27" s="24"/>
      <c r="I27" s="172"/>
      <c r="J27" s="46"/>
      <c r="L27" s="173" t="s">
        <v>117</v>
      </c>
      <c r="M27" s="172"/>
      <c r="N27" s="174"/>
      <c r="O27" s="175"/>
      <c r="P27" s="176"/>
      <c r="Q27" s="177"/>
      <c r="R27" s="693"/>
      <c r="S27" s="694"/>
      <c r="T27" s="694"/>
      <c r="U27" s="695"/>
      <c r="V27" s="110"/>
      <c r="W27" s="178"/>
      <c r="X27" s="179"/>
      <c r="Y27" s="180"/>
      <c r="AA27" s="181" t="s">
        <v>94</v>
      </c>
      <c r="AB27" s="156" t="s">
        <v>95</v>
      </c>
      <c r="AC27" s="136"/>
      <c r="AF27" s="8"/>
      <c r="AG27" s="8"/>
    </row>
    <row r="28" spans="1:62" ht="336" customHeight="1" thickBot="1">
      <c r="A28" s="96"/>
      <c r="B28" s="56"/>
      <c r="C28" s="182"/>
      <c r="D28" s="46"/>
      <c r="F28" s="183"/>
      <c r="G28" s="182"/>
      <c r="H28" s="184"/>
      <c r="I28" s="158"/>
      <c r="J28" s="72"/>
      <c r="L28" s="159"/>
      <c r="M28" s="185"/>
      <c r="N28" s="186"/>
      <c r="O28" s="187"/>
      <c r="P28" s="159"/>
      <c r="Q28" s="177"/>
      <c r="R28" s="696"/>
      <c r="S28" s="697"/>
      <c r="T28" s="697"/>
      <c r="U28" s="698"/>
      <c r="V28" s="110"/>
      <c r="W28" s="178"/>
      <c r="X28" s="179"/>
      <c r="Y28" s="180"/>
      <c r="AA28" s="181"/>
      <c r="AB28" s="156"/>
      <c r="AC28" s="136"/>
      <c r="AF28" s="8"/>
      <c r="AG28" s="8"/>
    </row>
    <row r="29" spans="1:62" ht="190.5" customHeight="1">
      <c r="A29" s="96"/>
      <c r="B29" s="24"/>
      <c r="C29" s="158"/>
      <c r="D29" s="184"/>
      <c r="E29" s="172"/>
      <c r="F29" s="184"/>
      <c r="G29" s="158"/>
      <c r="H29" s="184"/>
      <c r="I29" s="158"/>
      <c r="J29" s="184"/>
      <c r="K29" s="20"/>
      <c r="L29" s="24"/>
      <c r="M29" s="20"/>
      <c r="N29" s="173"/>
      <c r="O29" s="172"/>
      <c r="P29" s="159"/>
      <c r="Q29" s="177"/>
      <c r="R29" s="188"/>
      <c r="S29" s="189"/>
      <c r="T29" s="190"/>
      <c r="U29" s="189"/>
      <c r="V29" s="110"/>
      <c r="W29" s="178"/>
      <c r="X29" s="179"/>
      <c r="Y29" s="180"/>
      <c r="AA29" s="191" t="s">
        <v>96</v>
      </c>
      <c r="AB29" s="192"/>
      <c r="AC29" s="136"/>
      <c r="AF29" s="8"/>
      <c r="AG29" s="8"/>
    </row>
    <row r="30" spans="1:62" ht="124.5" customHeight="1">
      <c r="A30" s="96"/>
      <c r="B30" s="184"/>
      <c r="C30" s="158"/>
      <c r="D30" s="184"/>
      <c r="E30" s="172"/>
      <c r="F30" s="184"/>
      <c r="G30" s="158"/>
      <c r="H30" s="184"/>
      <c r="I30" s="158"/>
      <c r="J30" s="184"/>
      <c r="K30" s="172"/>
      <c r="L30" s="173"/>
      <c r="M30" s="172"/>
      <c r="N30" s="173"/>
      <c r="O30" s="172"/>
      <c r="P30" s="159"/>
      <c r="Q30" s="193"/>
      <c r="R30" s="49"/>
      <c r="S30" s="49"/>
      <c r="T30" s="194"/>
      <c r="U30" s="50"/>
      <c r="V30" s="110"/>
      <c r="W30" s="178"/>
      <c r="X30" s="179"/>
      <c r="Y30" s="180"/>
      <c r="AA30" s="191"/>
      <c r="AB30" s="192"/>
      <c r="AC30" s="136"/>
      <c r="AF30" s="8"/>
      <c r="AG30" s="8"/>
    </row>
    <row r="31" spans="1:62" ht="144" customHeight="1">
      <c r="A31" s="96"/>
      <c r="B31" s="56"/>
      <c r="C31" s="182"/>
      <c r="D31" s="176"/>
      <c r="E31" s="195"/>
      <c r="F31" s="196"/>
      <c r="G31" s="107"/>
      <c r="H31" s="24"/>
      <c r="I31" s="20"/>
      <c r="J31" s="24"/>
      <c r="K31" s="20"/>
      <c r="L31" s="24"/>
      <c r="M31" s="20"/>
      <c r="N31" s="24"/>
      <c r="O31" s="20"/>
      <c r="P31" s="56"/>
      <c r="Q31" s="197"/>
      <c r="S31" s="49"/>
      <c r="T31" s="189"/>
      <c r="U31" s="49"/>
      <c r="V31" s="198"/>
      <c r="W31" s="199"/>
      <c r="X31" s="200"/>
      <c r="Y31" s="201"/>
      <c r="AA31" s="202" t="s">
        <v>97</v>
      </c>
      <c r="AB31" s="192"/>
      <c r="AC31" s="136"/>
      <c r="AF31" s="8"/>
      <c r="AG31" s="8"/>
    </row>
    <row r="32" spans="1:62" ht="48" customHeight="1">
      <c r="A32" s="96"/>
      <c r="B32" s="24"/>
      <c r="C32" s="20"/>
      <c r="D32" s="196"/>
      <c r="E32" s="20"/>
      <c r="F32" s="196"/>
      <c r="G32" s="203"/>
      <c r="H32" s="204"/>
      <c r="I32" s="20"/>
      <c r="J32" s="24"/>
      <c r="K32" s="107"/>
      <c r="L32" s="56"/>
      <c r="M32" s="107"/>
      <c r="N32" s="56"/>
      <c r="O32" s="107"/>
      <c r="P32" s="56"/>
      <c r="Q32" s="197"/>
      <c r="R32" s="205"/>
      <c r="S32" s="206"/>
      <c r="T32" s="205"/>
      <c r="U32" s="205"/>
      <c r="V32" s="198"/>
      <c r="W32" s="199"/>
      <c r="X32" s="200"/>
      <c r="Y32" s="201"/>
      <c r="AA32" s="207"/>
      <c r="AB32" s="192"/>
      <c r="AC32" s="136"/>
      <c r="AD32" s="8"/>
      <c r="AF32" s="8"/>
      <c r="AG32" s="8"/>
    </row>
    <row r="33" spans="1:36" ht="33" customHeight="1">
      <c r="A33" s="96"/>
      <c r="B33" s="208"/>
      <c r="C33" s="209"/>
      <c r="D33" s="20"/>
      <c r="E33" s="20"/>
      <c r="F33" s="24"/>
      <c r="G33" s="182"/>
      <c r="H33" s="24"/>
      <c r="I33" s="20"/>
      <c r="J33" s="24"/>
      <c r="K33" s="20"/>
      <c r="L33" s="24"/>
      <c r="M33" s="20"/>
      <c r="N33" s="24"/>
      <c r="O33" s="20"/>
      <c r="P33" s="56"/>
      <c r="Q33" s="197"/>
      <c r="R33" s="93"/>
      <c r="S33" s="93"/>
      <c r="T33" s="49"/>
      <c r="U33" s="93"/>
      <c r="V33" s="210"/>
      <c r="W33" s="199"/>
      <c r="X33" s="200"/>
      <c r="Y33" s="201"/>
      <c r="AA33" s="46"/>
      <c r="AB33" s="192"/>
      <c r="AC33" s="136"/>
      <c r="AF33" s="8"/>
      <c r="AG33" s="8"/>
    </row>
    <row r="34" spans="1:36" ht="144.75" customHeight="1">
      <c r="A34" s="96"/>
      <c r="B34" s="56"/>
      <c r="C34" s="209"/>
      <c r="D34" s="20"/>
      <c r="E34" s="20"/>
      <c r="F34" s="183"/>
      <c r="G34" s="182"/>
      <c r="H34" s="196"/>
      <c r="I34" s="20"/>
      <c r="J34" s="211"/>
      <c r="K34" s="175"/>
      <c r="L34" s="174"/>
      <c r="M34" s="175"/>
      <c r="N34" s="174"/>
      <c r="O34" s="175"/>
      <c r="P34" s="56"/>
      <c r="Q34" s="212"/>
      <c r="R34" s="194"/>
      <c r="S34" s="189"/>
      <c r="U34" s="49"/>
      <c r="V34" s="213"/>
      <c r="W34" s="199"/>
      <c r="X34" s="214"/>
      <c r="Y34" s="201"/>
      <c r="AA34" s="215"/>
      <c r="AB34" s="192"/>
      <c r="AC34" s="136"/>
      <c r="AF34" s="8"/>
      <c r="AG34" s="8"/>
    </row>
    <row r="35" spans="1:36" s="192" customFormat="1" ht="83.25" customHeight="1" thickBot="1">
      <c r="A35" s="216"/>
      <c r="B35" s="217">
        <f>B49</f>
        <v>-2.2018348623853115</v>
      </c>
      <c r="C35" s="218"/>
      <c r="D35" s="219">
        <f>D49</f>
        <v>-13.334862385321102</v>
      </c>
      <c r="E35" s="220"/>
      <c r="F35" s="221">
        <f>F49</f>
        <v>-1.2018348623853115</v>
      </c>
      <c r="G35" s="221"/>
      <c r="H35" s="217">
        <f>H49</f>
        <v>7.7981651376146885</v>
      </c>
      <c r="I35" s="218"/>
      <c r="J35" s="217">
        <f>J49</f>
        <v>13.798165137614689</v>
      </c>
      <c r="K35" s="222"/>
      <c r="L35" s="217">
        <f>L49</f>
        <v>3.731651376146786</v>
      </c>
      <c r="M35" s="222"/>
      <c r="N35" s="217">
        <f>N49</f>
        <v>7.7981651376146885</v>
      </c>
      <c r="O35" s="222"/>
      <c r="P35" s="152">
        <f>P49</f>
        <v>-16.387614678899077</v>
      </c>
      <c r="Q35" s="218"/>
      <c r="R35" s="223"/>
      <c r="S35" s="224"/>
      <c r="T35" s="224"/>
      <c r="U35" s="224"/>
      <c r="V35" s="225"/>
      <c r="W35" s="226"/>
      <c r="X35" s="227"/>
      <c r="Y35" s="228"/>
      <c r="AA35" s="192" t="s">
        <v>98</v>
      </c>
    </row>
    <row r="36" spans="1:36" ht="300" customHeight="1" thickTop="1">
      <c r="A36" s="19"/>
      <c r="B36" s="24"/>
      <c r="C36" s="445"/>
      <c r="D36" s="441" t="s">
        <v>385</v>
      </c>
      <c r="E36" s="445" t="s">
        <v>386</v>
      </c>
      <c r="F36" s="419"/>
      <c r="G36" s="464"/>
      <c r="H36" s="24"/>
      <c r="I36" s="464"/>
      <c r="J36" s="24"/>
      <c r="K36" s="445"/>
      <c r="L36" s="456"/>
      <c r="M36" s="464"/>
      <c r="N36" s="457"/>
      <c r="O36" s="445"/>
      <c r="P36" s="24" t="s">
        <v>16</v>
      </c>
      <c r="Q36" s="445" t="s">
        <v>330</v>
      </c>
      <c r="R36" s="231" t="s">
        <v>53</v>
      </c>
      <c r="S36" s="232" t="s">
        <v>102</v>
      </c>
      <c r="T36" s="233"/>
      <c r="U36" s="234"/>
      <c r="V36" s="110"/>
      <c r="W36" s="28"/>
      <c r="X36" s="235"/>
      <c r="Y36" s="236"/>
    </row>
    <row r="37" spans="1:36" ht="222" customHeight="1">
      <c r="A37" s="96"/>
      <c r="B37" s="24"/>
      <c r="C37" s="107"/>
      <c r="D37" s="24" t="s">
        <v>387</v>
      </c>
      <c r="E37" s="229" t="s">
        <v>388</v>
      </c>
      <c r="F37" s="457"/>
      <c r="G37" s="229"/>
      <c r="H37" s="24"/>
      <c r="I37" s="445"/>
      <c r="J37" s="24"/>
      <c r="K37" s="229"/>
      <c r="L37" s="441"/>
      <c r="M37" s="229"/>
      <c r="N37" s="46"/>
      <c r="P37" s="24"/>
      <c r="Q37" s="243"/>
      <c r="R37" s="237" t="s">
        <v>103</v>
      </c>
      <c r="S37" s="238"/>
      <c r="T37" s="239"/>
      <c r="U37" s="234"/>
      <c r="V37" s="68"/>
      <c r="W37" s="28"/>
      <c r="X37" s="201"/>
      <c r="Y37" s="201"/>
      <c r="AA37" s="240" t="s">
        <v>104</v>
      </c>
      <c r="AB37" s="240"/>
      <c r="AC37" s="240" t="s">
        <v>105</v>
      </c>
      <c r="AD37" s="240" t="s">
        <v>106</v>
      </c>
      <c r="AE37" s="8" t="s">
        <v>107</v>
      </c>
      <c r="AF37" s="192"/>
      <c r="AG37" s="192"/>
      <c r="AH37" s="192"/>
      <c r="AI37" s="192"/>
      <c r="AJ37" s="192"/>
    </row>
    <row r="38" spans="1:36" ht="168.75" customHeight="1">
      <c r="A38" s="19"/>
      <c r="B38" s="241"/>
      <c r="C38" s="107"/>
      <c r="D38" s="242"/>
      <c r="E38" s="480"/>
      <c r="F38" s="244"/>
      <c r="G38" s="241"/>
      <c r="H38" s="24"/>
      <c r="I38" s="230"/>
      <c r="J38" s="72"/>
      <c r="K38" s="20"/>
      <c r="L38" s="24"/>
      <c r="M38" s="20"/>
      <c r="N38" s="24"/>
      <c r="O38" s="229"/>
      <c r="P38" s="24"/>
      <c r="Q38" s="107"/>
      <c r="R38" s="245" t="s">
        <v>108</v>
      </c>
      <c r="S38" s="246" t="s">
        <v>197</v>
      </c>
      <c r="T38" s="232" t="s">
        <v>109</v>
      </c>
      <c r="U38" s="247" t="s">
        <v>110</v>
      </c>
      <c r="V38" s="68"/>
      <c r="W38" s="123"/>
      <c r="X38" s="201"/>
      <c r="Y38" s="201"/>
      <c r="AA38" s="9" t="s">
        <v>111</v>
      </c>
      <c r="AB38" s="9"/>
      <c r="AC38" s="9" t="s">
        <v>105</v>
      </c>
      <c r="AD38" s="9" t="s">
        <v>112</v>
      </c>
      <c r="AE38" s="9" t="s">
        <v>113</v>
      </c>
      <c r="AF38" s="8"/>
      <c r="AG38" s="8"/>
    </row>
    <row r="39" spans="1:36" ht="94.5" customHeight="1">
      <c r="A39" s="19"/>
      <c r="B39" s="248"/>
      <c r="C39" s="20"/>
      <c r="D39" s="54"/>
      <c r="E39" s="249"/>
      <c r="F39" s="56"/>
      <c r="G39" s="20"/>
      <c r="H39" s="56"/>
      <c r="I39" s="57"/>
      <c r="J39" s="250"/>
      <c r="K39" s="241"/>
      <c r="L39" s="251"/>
      <c r="M39" s="241"/>
      <c r="N39" s="24"/>
      <c r="O39" s="241"/>
      <c r="P39" s="56"/>
      <c r="Q39" s="57"/>
      <c r="R39" s="252" t="s">
        <v>114</v>
      </c>
      <c r="S39" s="253" t="s">
        <v>115</v>
      </c>
      <c r="T39" s="233" t="s">
        <v>116</v>
      </c>
      <c r="U39" s="49"/>
      <c r="V39" s="68"/>
      <c r="W39" s="123"/>
      <c r="X39" s="201"/>
      <c r="Y39" s="201" t="s">
        <v>117</v>
      </c>
      <c r="AA39" s="9" t="s">
        <v>2</v>
      </c>
      <c r="AB39" s="9"/>
      <c r="AC39" s="9" t="s">
        <v>105</v>
      </c>
      <c r="AD39" s="9" t="s">
        <v>118</v>
      </c>
      <c r="AE39" s="9" t="s">
        <v>113</v>
      </c>
      <c r="AF39" s="8"/>
      <c r="AG39" s="8"/>
    </row>
    <row r="40" spans="1:36" ht="34.5" customHeight="1">
      <c r="A40" s="254"/>
      <c r="B40" s="59"/>
      <c r="C40" s="255"/>
      <c r="D40" s="59"/>
      <c r="E40" s="20"/>
      <c r="F40" s="248"/>
      <c r="G40" s="20"/>
      <c r="H40" s="256"/>
      <c r="I40" s="255"/>
      <c r="J40" s="257"/>
      <c r="K40" s="258"/>
      <c r="L40" s="257"/>
      <c r="M40" s="258"/>
      <c r="N40" s="24"/>
      <c r="O40" s="258"/>
      <c r="P40" s="56"/>
      <c r="Q40" s="57"/>
      <c r="R40" s="259"/>
      <c r="S40" s="260"/>
      <c r="T40" s="260"/>
      <c r="U40" s="261"/>
      <c r="V40" s="68"/>
      <c r="W40" s="123"/>
      <c r="X40" s="200"/>
      <c r="Y40" s="201"/>
      <c r="AA40" s="9" t="s">
        <v>119</v>
      </c>
      <c r="AB40" s="9"/>
      <c r="AC40" s="9" t="s">
        <v>120</v>
      </c>
      <c r="AD40" s="9" t="s">
        <v>121</v>
      </c>
      <c r="AE40" s="9" t="s">
        <v>122</v>
      </c>
      <c r="AF40" s="8" t="s">
        <v>107</v>
      </c>
      <c r="AG40" s="8"/>
    </row>
    <row r="41" spans="1:36" ht="34.5" customHeight="1" thickBot="1">
      <c r="A41" s="262"/>
      <c r="B41" s="263"/>
      <c r="C41" s="264"/>
      <c r="D41" s="263"/>
      <c r="E41" s="264"/>
      <c r="F41" s="265"/>
      <c r="G41" s="265"/>
      <c r="H41" s="263"/>
      <c r="I41" s="264"/>
      <c r="J41" s="263"/>
      <c r="K41" s="265"/>
      <c r="L41" s="263"/>
      <c r="M41" s="265"/>
      <c r="N41" s="263"/>
      <c r="O41" s="265"/>
      <c r="P41" s="266"/>
      <c r="Q41" s="267"/>
      <c r="R41" s="268"/>
      <c r="S41" s="269"/>
      <c r="T41" s="269"/>
      <c r="U41" s="270"/>
      <c r="V41" s="271"/>
      <c r="W41" s="272"/>
      <c r="X41" s="228"/>
      <c r="Y41" s="228"/>
      <c r="AA41" s="9" t="s">
        <v>123</v>
      </c>
      <c r="AB41" s="9"/>
      <c r="AC41" s="9" t="s">
        <v>120</v>
      </c>
      <c r="AD41" s="9" t="s">
        <v>124</v>
      </c>
      <c r="AE41" s="9" t="s">
        <v>113</v>
      </c>
      <c r="AF41" s="8"/>
      <c r="AG41" s="8"/>
    </row>
    <row r="42" spans="1:36" ht="73.5" customHeight="1" thickTop="1">
      <c r="A42" s="273" t="s">
        <v>125</v>
      </c>
      <c r="B42" s="274" t="s">
        <v>126</v>
      </c>
      <c r="C42" s="275"/>
      <c r="D42" s="276" t="s">
        <v>127</v>
      </c>
      <c r="E42" s="200"/>
      <c r="F42" s="277"/>
      <c r="G42" s="200"/>
      <c r="H42" s="278"/>
      <c r="I42" s="200"/>
      <c r="J42" s="214"/>
      <c r="K42" s="200"/>
      <c r="L42" s="214"/>
      <c r="M42" s="200"/>
      <c r="N42" s="277"/>
      <c r="O42" s="200"/>
      <c r="P42" s="279"/>
      <c r="Q42" s="200"/>
      <c r="R42" s="280"/>
      <c r="S42" s="281"/>
      <c r="T42" s="281"/>
      <c r="U42" s="282"/>
      <c r="V42" s="274" t="s">
        <v>128</v>
      </c>
      <c r="W42" s="283"/>
      <c r="X42" s="214"/>
      <c r="Y42" s="201"/>
      <c r="AA42" s="9" t="s">
        <v>18</v>
      </c>
      <c r="AB42" s="9"/>
      <c r="AC42" s="9" t="s">
        <v>129</v>
      </c>
      <c r="AE42" s="9" t="s">
        <v>130</v>
      </c>
      <c r="AF42" s="8" t="s">
        <v>131</v>
      </c>
      <c r="AG42" s="8"/>
    </row>
    <row r="43" spans="1:36" ht="40.5" customHeight="1">
      <c r="A43" s="273"/>
      <c r="B43" s="214"/>
      <c r="C43" s="275"/>
      <c r="D43" s="200"/>
      <c r="F43" s="214"/>
      <c r="G43" s="200"/>
      <c r="H43" s="214"/>
      <c r="I43" s="200"/>
      <c r="J43" s="214"/>
      <c r="K43" s="200"/>
      <c r="L43" s="214"/>
      <c r="M43" s="200"/>
      <c r="N43" s="214"/>
      <c r="O43" s="200"/>
      <c r="P43" s="214"/>
      <c r="Q43" s="200"/>
      <c r="R43" s="214"/>
      <c r="S43" s="282"/>
      <c r="T43" s="282"/>
      <c r="U43" s="282"/>
      <c r="V43" s="274" t="s">
        <v>132</v>
      </c>
      <c r="W43" s="200"/>
      <c r="X43" s="214"/>
      <c r="Y43" s="201"/>
      <c r="AA43" s="9"/>
      <c r="AB43" s="9"/>
      <c r="AC43" s="9" t="s">
        <v>133</v>
      </c>
      <c r="AD43" s="9" t="s">
        <v>134</v>
      </c>
      <c r="AE43" s="9" t="s">
        <v>130</v>
      </c>
      <c r="AF43" s="8"/>
      <c r="AG43" s="8"/>
    </row>
    <row r="44" spans="1:36" ht="58.5" customHeight="1" thickBot="1">
      <c r="A44" s="284"/>
      <c r="B44" s="285"/>
      <c r="C44" s="286"/>
      <c r="D44" s="287"/>
      <c r="E44" s="287"/>
      <c r="F44" s="285"/>
      <c r="G44" s="287"/>
      <c r="H44" s="285"/>
      <c r="I44" s="287"/>
      <c r="J44" s="285"/>
      <c r="K44" s="287"/>
      <c r="L44" s="285"/>
      <c r="M44" s="287"/>
      <c r="N44" s="285"/>
      <c r="O44" s="287"/>
      <c r="P44" s="285"/>
      <c r="Q44" s="287"/>
      <c r="R44" s="46"/>
      <c r="T44" s="288"/>
      <c r="U44" s="288"/>
      <c r="V44" s="289"/>
      <c r="W44" s="290"/>
      <c r="X44" s="291"/>
      <c r="Y44" s="292"/>
      <c r="AA44" s="9"/>
      <c r="AB44" s="9"/>
      <c r="AF44" s="8"/>
      <c r="AG44" s="8"/>
    </row>
    <row r="45" spans="1:36" ht="31.5" customHeight="1" thickTop="1">
      <c r="A45" s="293" t="s">
        <v>135</v>
      </c>
      <c r="B45" s="294">
        <f>B50+D50+F50+H50+J50+P50+N50+L50</f>
        <v>529</v>
      </c>
      <c r="C45" s="295"/>
      <c r="D45" s="296"/>
      <c r="F45" s="296"/>
      <c r="G45" s="297"/>
      <c r="H45" s="278"/>
      <c r="I45" s="298"/>
      <c r="J45" s="278"/>
      <c r="K45" s="299"/>
      <c r="L45" s="278"/>
      <c r="M45" s="299"/>
      <c r="N45" s="278"/>
      <c r="O45" s="299"/>
      <c r="P45" s="279"/>
      <c r="Q45" s="300"/>
      <c r="R45" s="291"/>
      <c r="S45" s="288"/>
      <c r="T45" s="301"/>
      <c r="U45" s="301"/>
      <c r="V45" s="669"/>
      <c r="W45" s="670"/>
      <c r="X45" s="670"/>
      <c r="Y45" s="671"/>
      <c r="Z45" s="302"/>
      <c r="AA45" s="303"/>
    </row>
    <row r="46" spans="1:36" ht="73" thickBot="1">
      <c r="A46" s="304" t="s">
        <v>136</v>
      </c>
      <c r="B46" s="305">
        <f>SUM(B48:T48)</f>
        <v>21.8</v>
      </c>
      <c r="C46" s="295"/>
      <c r="D46" s="296"/>
      <c r="E46" s="297"/>
      <c r="F46" s="296"/>
      <c r="G46" s="297"/>
      <c r="H46" s="278"/>
      <c r="I46" s="299"/>
      <c r="J46" s="278"/>
      <c r="K46" s="299"/>
      <c r="L46" s="278"/>
      <c r="M46" s="299"/>
      <c r="N46" s="278"/>
      <c r="O46" s="299"/>
      <c r="P46" s="279"/>
      <c r="Q46" s="300"/>
      <c r="R46" s="282"/>
      <c r="S46" s="115"/>
      <c r="T46" s="301"/>
      <c r="U46" s="301"/>
      <c r="V46" s="672"/>
      <c r="W46" s="673"/>
      <c r="X46" s="673"/>
      <c r="Y46" s="674"/>
      <c r="Z46" s="302"/>
      <c r="AA46" s="303"/>
    </row>
    <row r="47" spans="1:36" ht="72">
      <c r="A47" s="304" t="s">
        <v>137</v>
      </c>
      <c r="B47" s="294">
        <f>B45/B46</f>
        <v>24.26605504587156</v>
      </c>
      <c r="C47" s="295"/>
      <c r="D47" s="296"/>
      <c r="E47" s="297"/>
      <c r="F47" s="296"/>
      <c r="G47" s="297"/>
      <c r="H47" s="278"/>
      <c r="I47" s="299"/>
      <c r="J47" s="278"/>
      <c r="K47" s="299"/>
      <c r="L47" s="278"/>
      <c r="M47" s="299"/>
      <c r="N47" s="278"/>
      <c r="O47" s="299"/>
      <c r="P47" s="279"/>
      <c r="Q47" s="300"/>
      <c r="R47" s="282"/>
      <c r="S47" s="115"/>
      <c r="T47" s="306"/>
      <c r="U47" s="306"/>
      <c r="V47" s="307"/>
      <c r="W47" s="308"/>
      <c r="X47" s="308"/>
      <c r="Y47" s="309"/>
      <c r="Z47" s="306"/>
      <c r="AA47" s="303"/>
    </row>
    <row r="48" spans="1:36" ht="72">
      <c r="A48" s="310" t="s">
        <v>138</v>
      </c>
      <c r="B48" s="305">
        <f>C9</f>
        <v>3</v>
      </c>
      <c r="C48" s="295"/>
      <c r="D48" s="296">
        <f>E9</f>
        <v>2.5</v>
      </c>
      <c r="E48" s="297"/>
      <c r="F48" s="296">
        <f>G9</f>
        <v>3</v>
      </c>
      <c r="G48" s="297"/>
      <c r="H48" s="278">
        <f>I9</f>
        <v>3</v>
      </c>
      <c r="I48" s="299"/>
      <c r="J48" s="278">
        <f>K9</f>
        <v>3</v>
      </c>
      <c r="K48" s="299"/>
      <c r="L48" s="278">
        <f>M9</f>
        <v>2.75</v>
      </c>
      <c r="M48" s="299"/>
      <c r="N48" s="278">
        <f>O9</f>
        <v>3</v>
      </c>
      <c r="O48" s="299"/>
      <c r="P48" s="311">
        <f>Q9</f>
        <v>1.55</v>
      </c>
      <c r="Q48" s="300"/>
      <c r="R48" s="312"/>
      <c r="S48" s="313"/>
      <c r="T48" s="313"/>
      <c r="U48" s="313"/>
      <c r="V48" s="314"/>
      <c r="W48" s="315"/>
      <c r="X48" s="315"/>
      <c r="Y48" s="316"/>
      <c r="Z48" s="317"/>
      <c r="AA48" s="303"/>
    </row>
    <row r="49" spans="1:29" ht="72">
      <c r="A49" s="304" t="s">
        <v>139</v>
      </c>
      <c r="B49" s="294">
        <f>B45/B46*B48-B50</f>
        <v>-2.2018348623853115</v>
      </c>
      <c r="C49" s="295"/>
      <c r="D49" s="318">
        <f>B45/B46*D48-D50</f>
        <v>-13.334862385321102</v>
      </c>
      <c r="E49" s="319"/>
      <c r="F49" s="318">
        <f>B45/B46*F48-F50</f>
        <v>-1.2018348623853115</v>
      </c>
      <c r="G49" s="320"/>
      <c r="H49" s="321">
        <f>B45/B46*H48-H50</f>
        <v>7.7981651376146885</v>
      </c>
      <c r="I49" s="322"/>
      <c r="J49" s="321">
        <f>B45/B46*J48-J50</f>
        <v>13.798165137614689</v>
      </c>
      <c r="K49" s="322"/>
      <c r="L49" s="321">
        <f>B45/B46*L48-L50</f>
        <v>3.731651376146786</v>
      </c>
      <c r="M49" s="322"/>
      <c r="N49" s="321">
        <f>B45/B46*N48-N50</f>
        <v>7.7981651376146885</v>
      </c>
      <c r="O49" s="322"/>
      <c r="P49" s="311">
        <f>B45/B46*P48-P50</f>
        <v>-16.387614678899077</v>
      </c>
      <c r="Q49" s="323"/>
      <c r="R49" s="324"/>
      <c r="S49" s="324"/>
      <c r="T49" s="324"/>
      <c r="U49" s="325"/>
      <c r="V49" s="326"/>
      <c r="W49" s="327"/>
      <c r="X49" s="328"/>
      <c r="Y49" s="329"/>
      <c r="Z49" s="330"/>
      <c r="AA49" s="303"/>
    </row>
    <row r="50" spans="1:29" ht="73" thickBot="1">
      <c r="A50" s="310" t="s">
        <v>140</v>
      </c>
      <c r="B50" s="294">
        <v>75</v>
      </c>
      <c r="C50" s="295"/>
      <c r="D50" s="331">
        <v>74</v>
      </c>
      <c r="E50" s="130"/>
      <c r="F50" s="318">
        <v>74</v>
      </c>
      <c r="G50" s="320"/>
      <c r="H50" s="332">
        <v>65</v>
      </c>
      <c r="J50" s="321">
        <v>59</v>
      </c>
      <c r="K50" s="322"/>
      <c r="L50" s="321">
        <v>63</v>
      </c>
      <c r="M50" s="322"/>
      <c r="N50" s="333">
        <v>65</v>
      </c>
      <c r="O50" s="322"/>
      <c r="P50" s="334">
        <v>54</v>
      </c>
      <c r="Q50" s="335"/>
      <c r="R50" s="336"/>
      <c r="S50" s="325"/>
      <c r="T50" s="336"/>
      <c r="U50" s="325"/>
      <c r="V50" s="337"/>
      <c r="W50" s="338"/>
      <c r="X50" s="339"/>
      <c r="Y50" s="340"/>
      <c r="Z50" s="330"/>
      <c r="AA50" s="303"/>
    </row>
    <row r="51" spans="1:29" ht="120.75" customHeight="1" thickBot="1">
      <c r="A51" s="341" t="s">
        <v>142</v>
      </c>
      <c r="B51" s="342" t="s">
        <v>143</v>
      </c>
      <c r="C51" s="343">
        <v>75</v>
      </c>
      <c r="D51" s="344" t="s">
        <v>144</v>
      </c>
      <c r="E51" s="345">
        <v>74</v>
      </c>
      <c r="F51" s="346" t="s">
        <v>145</v>
      </c>
      <c r="G51" s="347">
        <v>74</v>
      </c>
      <c r="H51" s="346" t="s">
        <v>146</v>
      </c>
      <c r="I51" s="347">
        <v>65</v>
      </c>
      <c r="J51" s="346" t="s">
        <v>313</v>
      </c>
      <c r="K51" s="348">
        <v>59</v>
      </c>
      <c r="L51" s="349" t="s">
        <v>312</v>
      </c>
      <c r="M51" s="348">
        <v>63</v>
      </c>
      <c r="N51" s="349" t="s">
        <v>311</v>
      </c>
      <c r="O51" s="348">
        <v>65</v>
      </c>
      <c r="P51" s="350" t="s">
        <v>151</v>
      </c>
      <c r="Q51" s="351">
        <v>54</v>
      </c>
      <c r="R51" s="325"/>
      <c r="S51" s="303"/>
      <c r="T51" s="325"/>
      <c r="U51" s="303"/>
      <c r="V51" s="352"/>
      <c r="W51" s="353"/>
      <c r="X51" s="328"/>
      <c r="Y51" s="328"/>
      <c r="Z51" s="330"/>
      <c r="AA51" s="303"/>
      <c r="AC51" s="9" t="s">
        <v>152</v>
      </c>
    </row>
    <row r="52" spans="1:29">
      <c r="A52" s="303"/>
      <c r="B52" s="354"/>
      <c r="C52" s="354"/>
      <c r="D52" s="355"/>
      <c r="E52" s="354"/>
      <c r="F52" s="354"/>
      <c r="G52" s="354"/>
      <c r="H52" s="356"/>
      <c r="I52" s="354"/>
      <c r="J52" s="356"/>
      <c r="K52" s="354"/>
      <c r="L52" s="354"/>
      <c r="M52" s="354"/>
      <c r="N52" s="354"/>
      <c r="O52" s="354"/>
      <c r="P52" s="356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9" ht="72">
      <c r="A53" s="357" t="s">
        <v>153</v>
      </c>
      <c r="B53" s="354">
        <f>14-J74+I74+K74</f>
        <v>11.15</v>
      </c>
      <c r="C53" s="354"/>
      <c r="D53" s="308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8"/>
      <c r="Y53" s="358"/>
    </row>
    <row r="54" spans="1:29" ht="72">
      <c r="A54" s="357" t="s">
        <v>154</v>
      </c>
      <c r="B54" s="359">
        <f>B45/B53</f>
        <v>47.443946188340803</v>
      </c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58"/>
      <c r="Y54" s="358"/>
    </row>
    <row r="55" spans="1:29" ht="72">
      <c r="A55" s="357" t="s">
        <v>155</v>
      </c>
      <c r="B55" s="354">
        <f>B47*B48</f>
        <v>72.798165137614689</v>
      </c>
      <c r="C55" s="354"/>
      <c r="D55" s="354">
        <f>B47*D48</f>
        <v>60.665137614678898</v>
      </c>
      <c r="E55" s="354"/>
      <c r="F55" s="354">
        <f>B47*F48</f>
        <v>72.798165137614689</v>
      </c>
      <c r="G55" s="354"/>
      <c r="H55" s="359">
        <f>B47*H48</f>
        <v>72.798165137614689</v>
      </c>
      <c r="I55" s="354"/>
      <c r="J55" s="354">
        <f>B47*J48</f>
        <v>72.798165137614689</v>
      </c>
      <c r="K55" s="354"/>
      <c r="L55" s="354">
        <f>B47*L48</f>
        <v>66.731651376146786</v>
      </c>
      <c r="M55" s="354"/>
      <c r="N55" s="359">
        <f>B47*N48</f>
        <v>72.798165137614689</v>
      </c>
      <c r="O55" s="354"/>
      <c r="P55" s="354">
        <f>B47*P48</f>
        <v>37.612385321100923</v>
      </c>
      <c r="Q55" s="354"/>
      <c r="R55" s="354"/>
      <c r="S55" s="354"/>
      <c r="T55" s="354"/>
      <c r="U55" s="354"/>
      <c r="V55" s="354"/>
      <c r="W55" s="354"/>
      <c r="X55" s="354"/>
      <c r="Y55" s="354"/>
      <c r="Z55" s="303"/>
      <c r="AA55" s="303"/>
    </row>
    <row r="56" spans="1:29" ht="72">
      <c r="A56" s="357" t="s">
        <v>156</v>
      </c>
      <c r="B56" s="354">
        <f>B55/B54</f>
        <v>1.5344036697247709</v>
      </c>
      <c r="C56" s="354"/>
      <c r="D56" s="354">
        <f>D55/B54</f>
        <v>1.2786697247706422</v>
      </c>
      <c r="E56" s="354"/>
      <c r="F56" s="354">
        <f>F55/B54</f>
        <v>1.5344036697247709</v>
      </c>
      <c r="G56" s="354"/>
      <c r="H56" s="354">
        <f>H55/B54</f>
        <v>1.5344036697247709</v>
      </c>
      <c r="I56" s="354"/>
      <c r="J56" s="354">
        <f>J55/B54</f>
        <v>1.5344036697247709</v>
      </c>
      <c r="K56" s="354"/>
      <c r="L56" s="354">
        <f>L55/B54</f>
        <v>1.4065366972477065</v>
      </c>
      <c r="M56" s="354"/>
      <c r="N56" s="359">
        <f>N55/B54</f>
        <v>1.5344036697247709</v>
      </c>
      <c r="O56" s="354"/>
      <c r="P56" s="354">
        <f>P55/B54</f>
        <v>0.79277522935779832</v>
      </c>
      <c r="Q56" s="354"/>
      <c r="R56" s="354"/>
      <c r="S56" s="354"/>
      <c r="T56" s="354"/>
      <c r="U56" s="354"/>
      <c r="V56" s="354"/>
      <c r="W56" s="354"/>
      <c r="X56" s="354"/>
      <c r="Y56" s="354"/>
      <c r="Z56" s="303"/>
      <c r="AA56" s="303"/>
    </row>
    <row r="57" spans="1:29">
      <c r="A57" s="303"/>
      <c r="B57" s="354"/>
      <c r="C57" s="354"/>
      <c r="D57" s="354"/>
      <c r="E57" s="354"/>
      <c r="F57" s="354"/>
      <c r="G57" s="354"/>
      <c r="H57" s="354"/>
      <c r="I57" s="354"/>
      <c r="J57" s="354"/>
      <c r="K57" s="354"/>
      <c r="L57" s="354"/>
      <c r="M57" s="354"/>
      <c r="N57" s="354"/>
      <c r="O57" s="354"/>
      <c r="P57" s="354"/>
      <c r="Q57" s="354"/>
      <c r="R57" s="354"/>
      <c r="S57" s="354"/>
      <c r="T57" s="354"/>
      <c r="U57" s="354"/>
      <c r="V57" s="354"/>
      <c r="W57" s="354"/>
      <c r="X57" s="354"/>
      <c r="Y57" s="354"/>
      <c r="Z57" s="303"/>
      <c r="AA57" s="303"/>
    </row>
    <row r="58" spans="1:29">
      <c r="A58" s="303"/>
      <c r="B58" s="354"/>
      <c r="C58" s="354"/>
      <c r="D58" s="354"/>
      <c r="E58" s="354"/>
      <c r="F58" s="354"/>
      <c r="G58" s="354"/>
      <c r="H58" s="354"/>
      <c r="I58" s="354"/>
      <c r="J58" s="354"/>
      <c r="K58" s="354"/>
      <c r="L58" s="354"/>
      <c r="M58" s="354"/>
      <c r="N58" s="354"/>
      <c r="O58" s="354"/>
      <c r="P58" s="354"/>
      <c r="Q58" s="354"/>
      <c r="R58" s="354"/>
      <c r="S58" s="354"/>
      <c r="T58" s="354"/>
      <c r="U58" s="354"/>
      <c r="V58" s="354"/>
      <c r="W58" s="354"/>
      <c r="X58" s="354"/>
      <c r="Y58" s="354"/>
      <c r="Z58" s="303"/>
      <c r="AA58" s="303"/>
    </row>
    <row r="59" spans="1:29" ht="36">
      <c r="A59" s="360" t="s">
        <v>157</v>
      </c>
      <c r="B59" s="361"/>
      <c r="C59" s="362"/>
      <c r="D59" s="362"/>
      <c r="E59" s="362"/>
      <c r="F59" s="362"/>
      <c r="G59" s="362"/>
      <c r="H59" s="362"/>
      <c r="I59" s="362"/>
      <c r="J59" s="363"/>
      <c r="K59" s="353"/>
      <c r="L59" s="353"/>
      <c r="M59" s="353"/>
      <c r="N59" s="353"/>
      <c r="O59" s="353"/>
      <c r="P59" s="353"/>
      <c r="Q59" s="353"/>
      <c r="R59" s="353"/>
      <c r="S59" s="353"/>
      <c r="T59" s="353"/>
      <c r="U59" s="353"/>
      <c r="V59" s="353"/>
      <c r="W59" s="353"/>
      <c r="X59" s="353"/>
      <c r="Y59" s="354"/>
      <c r="Z59" s="303"/>
      <c r="AA59" s="303"/>
    </row>
    <row r="60" spans="1:29">
      <c r="A60" s="303"/>
      <c r="B60" s="361" t="s">
        <v>158</v>
      </c>
      <c r="C60" s="362"/>
      <c r="D60" s="362"/>
      <c r="E60" s="362"/>
      <c r="F60" s="362"/>
      <c r="G60" s="362"/>
      <c r="H60" s="362"/>
      <c r="I60" s="362"/>
      <c r="J60" s="363"/>
      <c r="K60" s="353"/>
      <c r="L60" s="353"/>
      <c r="M60" s="353"/>
      <c r="N60" s="353"/>
      <c r="O60" s="353"/>
      <c r="P60" s="353"/>
      <c r="Q60" s="353"/>
      <c r="R60" s="353"/>
      <c r="S60" s="353"/>
      <c r="T60" s="353"/>
      <c r="U60" s="353"/>
      <c r="V60" s="353"/>
      <c r="W60" s="353"/>
      <c r="X60" s="353"/>
      <c r="Y60" s="354"/>
      <c r="Z60" s="303"/>
      <c r="AA60" s="303"/>
    </row>
    <row r="61" spans="1:29">
      <c r="A61" s="303"/>
      <c r="B61" s="361" t="s">
        <v>159</v>
      </c>
      <c r="C61" s="362"/>
      <c r="D61" s="362"/>
      <c r="E61" s="362"/>
      <c r="F61" s="362"/>
      <c r="G61" s="362"/>
      <c r="H61" s="362"/>
      <c r="I61" s="362"/>
      <c r="J61" s="363"/>
      <c r="K61" s="353"/>
      <c r="L61" s="353"/>
      <c r="M61" s="353"/>
      <c r="N61" s="353"/>
      <c r="O61" s="353"/>
      <c r="P61" s="353"/>
      <c r="Q61" s="353"/>
      <c r="R61" s="353"/>
      <c r="S61" s="353"/>
      <c r="T61" s="353"/>
      <c r="U61" s="353"/>
      <c r="V61" s="353"/>
      <c r="W61" s="353"/>
      <c r="X61" s="353"/>
      <c r="Y61" s="354"/>
      <c r="Z61" s="303"/>
      <c r="AA61" s="303"/>
    </row>
    <row r="62" spans="1:29">
      <c r="A62" s="303"/>
      <c r="B62" s="361" t="s">
        <v>160</v>
      </c>
      <c r="C62" s="361"/>
      <c r="D62" s="362"/>
      <c r="E62" s="362"/>
      <c r="F62" s="362"/>
      <c r="G62" s="362"/>
      <c r="H62" s="362"/>
      <c r="I62" s="362"/>
      <c r="J62" s="363"/>
      <c r="K62" s="353"/>
      <c r="L62" s="353"/>
      <c r="M62" s="353"/>
      <c r="N62" s="353"/>
      <c r="O62" s="353"/>
      <c r="P62" s="353"/>
      <c r="Q62" s="353"/>
      <c r="R62" s="353"/>
      <c r="S62" s="353"/>
      <c r="T62" s="353"/>
      <c r="U62" s="353"/>
      <c r="V62" s="353"/>
      <c r="W62" s="353"/>
      <c r="X62" s="353"/>
      <c r="Y62" s="354"/>
      <c r="Z62" s="303"/>
      <c r="AA62" s="303"/>
    </row>
    <row r="63" spans="1:29">
      <c r="A63" s="364"/>
      <c r="B63" s="361" t="s">
        <v>161</v>
      </c>
      <c r="C63" s="361"/>
      <c r="D63" s="361"/>
      <c r="E63" s="361"/>
      <c r="F63" s="361"/>
      <c r="G63" s="361"/>
      <c r="H63" s="361"/>
      <c r="I63" s="361"/>
      <c r="J63" s="365"/>
      <c r="K63" s="366"/>
      <c r="L63" s="366"/>
      <c r="M63" s="366"/>
      <c r="N63" s="366"/>
      <c r="O63" s="366"/>
      <c r="P63" s="366"/>
      <c r="Q63" s="366"/>
      <c r="R63" s="353"/>
      <c r="S63" s="353"/>
      <c r="T63" s="353"/>
      <c r="U63" s="353"/>
      <c r="V63" s="353"/>
      <c r="W63" s="353"/>
      <c r="X63" s="353"/>
      <c r="Y63" s="355"/>
      <c r="Z63" s="364"/>
      <c r="AA63" s="364"/>
    </row>
    <row r="64" spans="1:29">
      <c r="A64" s="364"/>
      <c r="B64" s="367" t="s">
        <v>324</v>
      </c>
      <c r="C64" s="366"/>
      <c r="D64" s="366"/>
      <c r="E64" s="365"/>
      <c r="F64" s="365"/>
      <c r="G64" s="365"/>
      <c r="H64" s="365"/>
      <c r="I64" s="365"/>
      <c r="J64" s="365"/>
      <c r="K64" s="366"/>
      <c r="L64" s="366"/>
      <c r="M64" s="366"/>
      <c r="N64" s="366"/>
      <c r="O64" s="366"/>
      <c r="P64" s="366"/>
      <c r="Q64" s="366"/>
      <c r="R64" s="366"/>
      <c r="S64" s="366"/>
      <c r="T64" s="366"/>
      <c r="U64" s="366"/>
      <c r="V64" s="366"/>
      <c r="W64" s="366"/>
      <c r="X64" s="353"/>
      <c r="Y64" s="355"/>
      <c r="Z64" s="364"/>
      <c r="AA64" s="364"/>
    </row>
    <row r="65" spans="1:27">
      <c r="A65" s="364"/>
      <c r="B65" s="366" t="s">
        <v>163</v>
      </c>
      <c r="C65" s="366"/>
      <c r="D65" s="366"/>
      <c r="E65" s="366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64"/>
      <c r="B66" s="366" t="s">
        <v>164</v>
      </c>
      <c r="C66" s="366"/>
      <c r="D66" s="366"/>
      <c r="E66" s="366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6"/>
      <c r="R66" s="366"/>
      <c r="S66" s="368"/>
      <c r="T66" s="368"/>
      <c r="U66" s="368"/>
      <c r="V66" s="368"/>
      <c r="W66" s="368"/>
      <c r="X66" s="369"/>
      <c r="Y66" s="364"/>
      <c r="Z66" s="364"/>
      <c r="AA66" s="364"/>
    </row>
    <row r="67" spans="1:27">
      <c r="A67" s="364"/>
      <c r="B67" s="367" t="s">
        <v>325</v>
      </c>
      <c r="C67" s="367"/>
      <c r="D67" s="367"/>
      <c r="E67" s="367"/>
      <c r="F67" s="367"/>
      <c r="G67" s="367"/>
      <c r="H67" s="366"/>
      <c r="I67" s="366"/>
      <c r="J67" s="366"/>
      <c r="K67" s="366"/>
      <c r="L67" s="366"/>
      <c r="M67" s="366"/>
      <c r="N67" s="366"/>
      <c r="O67" s="366"/>
      <c r="P67" s="366"/>
      <c r="Q67" s="366"/>
      <c r="R67" s="366"/>
      <c r="S67" s="368"/>
      <c r="T67" s="368"/>
      <c r="U67" s="368"/>
      <c r="V67" s="368"/>
      <c r="W67" s="368"/>
      <c r="X67" s="369"/>
      <c r="Y67" s="364"/>
      <c r="Z67" s="364"/>
      <c r="AA67" s="364"/>
    </row>
    <row r="68" spans="1:27">
      <c r="A68" s="364"/>
      <c r="B68" s="367" t="s">
        <v>166</v>
      </c>
      <c r="C68" s="370"/>
      <c r="D68" s="370"/>
      <c r="E68" s="371"/>
      <c r="F68" s="366"/>
      <c r="G68" s="366"/>
      <c r="H68" s="366"/>
      <c r="I68" s="366"/>
      <c r="J68" s="366"/>
      <c r="K68" s="366"/>
      <c r="L68" s="366"/>
      <c r="M68" s="366"/>
      <c r="N68" s="366"/>
      <c r="O68" s="366"/>
      <c r="P68" s="366"/>
      <c r="Q68" s="366"/>
      <c r="R68" s="366"/>
      <c r="S68" s="368"/>
      <c r="T68" s="368"/>
      <c r="U68" s="368"/>
      <c r="V68" s="368"/>
      <c r="W68" s="368"/>
      <c r="X68" s="369"/>
      <c r="Y68" s="364"/>
      <c r="Z68" s="364"/>
      <c r="AA68" s="364"/>
    </row>
    <row r="69" spans="1:27">
      <c r="A69" s="364"/>
      <c r="B69" s="367" t="s">
        <v>167</v>
      </c>
      <c r="C69" s="370"/>
      <c r="D69" s="370"/>
      <c r="E69" s="371"/>
      <c r="F69" s="366"/>
      <c r="G69" s="366"/>
      <c r="H69" s="366"/>
      <c r="I69" s="366"/>
      <c r="J69" s="366"/>
      <c r="K69" s="366"/>
      <c r="L69" s="366"/>
      <c r="M69" s="366"/>
      <c r="N69" s="366"/>
      <c r="O69" s="366"/>
      <c r="P69" s="366"/>
      <c r="Q69" s="366"/>
      <c r="R69" s="366"/>
      <c r="S69" s="368"/>
      <c r="T69" s="368"/>
      <c r="U69" s="368"/>
      <c r="V69" s="368"/>
      <c r="W69" s="368"/>
      <c r="X69" s="369"/>
      <c r="Y69" s="364"/>
      <c r="Z69" s="364"/>
      <c r="AA69" s="364"/>
    </row>
    <row r="70" spans="1:27">
      <c r="A70" s="364"/>
      <c r="B70" s="367" t="s">
        <v>168</v>
      </c>
      <c r="C70" s="370"/>
      <c r="D70" s="370"/>
      <c r="E70" s="371"/>
      <c r="F70" s="366"/>
      <c r="G70" s="366"/>
      <c r="H70" s="366"/>
      <c r="I70" s="366"/>
      <c r="J70" s="366"/>
      <c r="K70" s="366"/>
      <c r="L70" s="366"/>
      <c r="M70" s="366"/>
      <c r="N70" s="366"/>
      <c r="O70" s="366"/>
      <c r="P70" s="366"/>
      <c r="Q70" s="366"/>
      <c r="R70" s="366"/>
      <c r="S70" s="368"/>
      <c r="T70" s="368"/>
      <c r="U70" s="368"/>
      <c r="V70" s="368"/>
      <c r="W70" s="368"/>
      <c r="X70" s="369"/>
      <c r="Y70" s="364"/>
      <c r="Z70" s="364"/>
      <c r="AA70" s="364"/>
    </row>
    <row r="71" spans="1:27">
      <c r="A71" s="372" t="s">
        <v>169</v>
      </c>
      <c r="B71" s="373"/>
      <c r="C71" s="366"/>
      <c r="D71" s="366"/>
      <c r="E71" s="366"/>
      <c r="F71" s="366"/>
      <c r="G71" s="374"/>
      <c r="H71" s="374"/>
      <c r="I71" s="374"/>
      <c r="J71" s="374"/>
      <c r="K71" s="374"/>
      <c r="L71" s="374"/>
      <c r="M71" s="374"/>
      <c r="N71" s="374"/>
      <c r="O71" s="374"/>
      <c r="P71" s="374"/>
      <c r="Q71" s="374"/>
      <c r="R71" s="374"/>
      <c r="S71" s="374"/>
      <c r="T71" s="374"/>
      <c r="U71" s="374"/>
      <c r="V71" s="374"/>
      <c r="W71" s="374"/>
      <c r="X71" s="374"/>
      <c r="Y71" s="374"/>
      <c r="Z71" s="374"/>
      <c r="AA71" s="374"/>
    </row>
    <row r="72" spans="1:27">
      <c r="A72" s="306"/>
      <c r="B72" s="373"/>
      <c r="C72" s="366"/>
      <c r="D72" s="366"/>
      <c r="E72" s="366"/>
      <c r="F72" s="366"/>
      <c r="G72" s="306"/>
      <c r="H72" s="306"/>
      <c r="I72" s="306"/>
      <c r="J72" s="306"/>
      <c r="P72" s="306"/>
      <c r="Q72" s="306"/>
      <c r="R72" s="306"/>
      <c r="S72" s="306"/>
      <c r="T72" s="306"/>
      <c r="U72" s="306"/>
      <c r="V72" s="306"/>
      <c r="W72" s="306"/>
      <c r="X72" s="306"/>
      <c r="Y72" s="306"/>
      <c r="Z72" s="306"/>
      <c r="AA72" s="306"/>
    </row>
    <row r="73" spans="1:27">
      <c r="B73" s="375" t="s">
        <v>170</v>
      </c>
      <c r="C73" s="376" t="s">
        <v>171</v>
      </c>
      <c r="D73" s="376" t="s">
        <v>172</v>
      </c>
      <c r="E73" s="376" t="s">
        <v>53</v>
      </c>
      <c r="F73" s="376" t="s">
        <v>7</v>
      </c>
      <c r="G73" s="376" t="s">
        <v>173</v>
      </c>
      <c r="H73" s="376" t="s">
        <v>174</v>
      </c>
      <c r="I73" s="377" t="s">
        <v>175</v>
      </c>
      <c r="J73" s="375" t="s">
        <v>176</v>
      </c>
      <c r="K73" s="378" t="s">
        <v>177</v>
      </c>
      <c r="L73" s="379"/>
      <c r="M73" s="379"/>
      <c r="N73" s="379"/>
      <c r="O73" s="379"/>
      <c r="P73" s="306"/>
      <c r="Q73" s="306"/>
      <c r="R73" s="306"/>
      <c r="S73" s="306"/>
      <c r="T73" s="306"/>
      <c r="U73" s="306"/>
      <c r="V73" s="306"/>
      <c r="W73" s="306"/>
      <c r="X73" s="306"/>
      <c r="Y73" s="306"/>
      <c r="Z73" s="306"/>
      <c r="AA73" s="306"/>
    </row>
    <row r="74" spans="1:27">
      <c r="B74" s="376"/>
      <c r="C74" s="376">
        <v>0.75</v>
      </c>
      <c r="D74" s="376" t="s">
        <v>178</v>
      </c>
      <c r="E74" s="376">
        <v>0</v>
      </c>
      <c r="F74" s="376">
        <f>Q22</f>
        <v>0.4</v>
      </c>
      <c r="G74" s="380">
        <v>1.7</v>
      </c>
      <c r="H74" s="376">
        <v>0</v>
      </c>
      <c r="I74" s="377">
        <v>0</v>
      </c>
      <c r="J74" s="376">
        <f>SUM(C74:H74)</f>
        <v>2.8499999999999996</v>
      </c>
      <c r="K74" s="378">
        <v>0</v>
      </c>
      <c r="L74" s="379"/>
      <c r="M74" s="379"/>
      <c r="N74" s="379"/>
      <c r="O74" s="379"/>
      <c r="P74" s="306"/>
      <c r="Q74" s="306"/>
      <c r="R74" s="306"/>
      <c r="S74" s="306"/>
      <c r="T74" s="306"/>
      <c r="U74" s="306"/>
      <c r="V74" s="306"/>
      <c r="W74" s="306"/>
      <c r="X74" s="306"/>
      <c r="Y74" s="306"/>
      <c r="Z74" s="306"/>
      <c r="AA74" s="306"/>
    </row>
    <row r="75" spans="1:27">
      <c r="A75" s="306"/>
      <c r="B75" s="306"/>
      <c r="C75" s="306"/>
      <c r="D75" s="306"/>
      <c r="F75" s="306"/>
      <c r="G75" s="306"/>
      <c r="H75" s="306"/>
      <c r="I75" s="306"/>
      <c r="J75" s="306"/>
      <c r="K75" s="306"/>
      <c r="L75" s="306"/>
      <c r="M75" s="306"/>
      <c r="N75" s="306"/>
      <c r="O75" s="306"/>
      <c r="P75" s="306"/>
      <c r="R75" s="306"/>
      <c r="S75" s="306"/>
      <c r="T75" s="306"/>
      <c r="U75" s="306"/>
      <c r="V75" s="306"/>
      <c r="W75" s="306"/>
      <c r="X75" s="306"/>
      <c r="Y75" s="306"/>
      <c r="Z75" s="306"/>
      <c r="AA75" s="306"/>
    </row>
    <row r="77" spans="1:27" ht="72">
      <c r="A77" s="381" t="s">
        <v>179</v>
      </c>
      <c r="B77" s="382" t="s">
        <v>180</v>
      </c>
      <c r="C77" s="382">
        <v>0</v>
      </c>
      <c r="D77" s="382">
        <v>0</v>
      </c>
    </row>
    <row r="78" spans="1:27">
      <c r="A78" s="382"/>
      <c r="B78" s="382" t="s">
        <v>181</v>
      </c>
      <c r="C78" s="382">
        <f>IF(OR(E1="Wednesday",E1="Friday"),0.75,0.5)</f>
        <v>0.5</v>
      </c>
      <c r="D78" s="382">
        <f>IF(OR(E1="Monday",E1="Friday"),0.25,0.5)</f>
        <v>0.5</v>
      </c>
    </row>
    <row r="79" spans="1:27">
      <c r="A79" s="382"/>
      <c r="B79" s="382" t="s">
        <v>182</v>
      </c>
      <c r="C79" s="382">
        <f>0.25</f>
        <v>0.25</v>
      </c>
      <c r="D79" s="382"/>
      <c r="K79" s="306"/>
      <c r="L79" s="306"/>
      <c r="M79" s="306"/>
      <c r="N79" s="306"/>
      <c r="O79" s="306"/>
    </row>
    <row r="82" spans="1:3">
      <c r="A82" s="383"/>
    </row>
    <row r="86" spans="1:3">
      <c r="A86" s="8" t="s">
        <v>183</v>
      </c>
    </row>
    <row r="87" spans="1:3">
      <c r="A87" s="8" t="s">
        <v>184</v>
      </c>
      <c r="B87" s="8" t="s">
        <v>185</v>
      </c>
    </row>
    <row r="88" spans="1:3">
      <c r="B88" s="8" t="s">
        <v>186</v>
      </c>
    </row>
    <row r="90" spans="1:3">
      <c r="B90" s="8" t="s">
        <v>187</v>
      </c>
    </row>
    <row r="94" spans="1:3">
      <c r="C94" s="384"/>
    </row>
    <row r="103" spans="16:20">
      <c r="P103" s="385"/>
      <c r="Q103" s="385"/>
      <c r="R103" s="385"/>
      <c r="S103" s="385"/>
      <c r="T103" s="385"/>
    </row>
    <row r="104" spans="16:20">
      <c r="P104" s="386"/>
      <c r="Q104" s="386"/>
      <c r="R104" s="386"/>
      <c r="S104" s="386"/>
      <c r="T104" s="386"/>
    </row>
    <row r="105" spans="16:20">
      <c r="P105" s="386"/>
      <c r="Q105" s="386"/>
      <c r="R105" s="386"/>
      <c r="S105" s="386"/>
      <c r="T105" s="386"/>
    </row>
    <row r="106" spans="16:20" ht="36" thickBot="1">
      <c r="P106" s="387"/>
      <c r="Q106" s="387"/>
      <c r="R106" s="387"/>
      <c r="S106" s="388"/>
      <c r="T106" s="389"/>
    </row>
  </sheetData>
  <mergeCells count="6">
    <mergeCell ref="V45:Y46"/>
    <mergeCell ref="R3:U3"/>
    <mergeCell ref="R22:U23"/>
    <mergeCell ref="R24:U24"/>
    <mergeCell ref="S26:U26"/>
    <mergeCell ref="R27:U28"/>
  </mergeCells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J101"/>
  <sheetViews>
    <sheetView topLeftCell="D1" zoomScale="50" zoomScaleNormal="50" workbookViewId="0">
      <selection activeCell="I12" sqref="I12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6.832031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45968</v>
      </c>
      <c r="E1" s="3" t="s">
        <v>400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82" t="s">
        <v>196</v>
      </c>
      <c r="C3" s="483"/>
      <c r="D3" s="482" t="s">
        <v>12</v>
      </c>
      <c r="E3" s="568"/>
      <c r="F3" s="484" t="s">
        <v>198</v>
      </c>
      <c r="G3" s="485"/>
      <c r="H3" s="486" t="s">
        <v>47</v>
      </c>
      <c r="I3" s="485"/>
      <c r="J3" s="482" t="s">
        <v>297</v>
      </c>
      <c r="K3" s="485"/>
      <c r="L3" s="482" t="s">
        <v>301</v>
      </c>
      <c r="M3" s="485"/>
      <c r="N3" s="482" t="s">
        <v>15</v>
      </c>
      <c r="O3" s="485"/>
      <c r="P3" s="482" t="s">
        <v>28</v>
      </c>
      <c r="Q3" s="485"/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82" t="s">
        <v>33</v>
      </c>
      <c r="C4" s="483"/>
      <c r="D4" s="482" t="s">
        <v>34</v>
      </c>
      <c r="E4" s="483"/>
      <c r="F4" s="482" t="s">
        <v>299</v>
      </c>
      <c r="G4" s="485">
        <v>0.5</v>
      </c>
      <c r="H4" s="482" t="s">
        <v>37</v>
      </c>
      <c r="I4" s="485"/>
      <c r="J4" s="482" t="s">
        <v>298</v>
      </c>
      <c r="K4" s="488"/>
      <c r="L4" s="482" t="s">
        <v>27</v>
      </c>
      <c r="M4" s="488"/>
      <c r="N4" s="482" t="s">
        <v>38</v>
      </c>
      <c r="O4" s="485"/>
      <c r="P4" s="482" t="s">
        <v>50</v>
      </c>
      <c r="Q4" s="484">
        <v>0.75</v>
      </c>
      <c r="R4" s="33" t="s">
        <v>305</v>
      </c>
      <c r="S4" s="34"/>
      <c r="T4" s="34" t="s">
        <v>423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.75" customHeight="1">
      <c r="A5" s="40"/>
      <c r="B5" s="482" t="s">
        <v>22</v>
      </c>
      <c r="C5" s="483"/>
      <c r="D5" s="482" t="s">
        <v>13</v>
      </c>
      <c r="E5" s="485" t="s">
        <v>39</v>
      </c>
      <c r="F5" s="482" t="s">
        <v>300</v>
      </c>
      <c r="G5" s="485">
        <v>0.5</v>
      </c>
      <c r="H5" s="482" t="s">
        <v>308</v>
      </c>
      <c r="I5" s="484">
        <v>0.5</v>
      </c>
      <c r="J5" s="482" t="s">
        <v>26</v>
      </c>
      <c r="K5" s="485"/>
      <c r="L5" s="489" t="s">
        <v>315</v>
      </c>
      <c r="M5" s="485">
        <v>0.5</v>
      </c>
      <c r="N5" s="482" t="s">
        <v>302</v>
      </c>
      <c r="O5" s="485"/>
      <c r="P5" s="482" t="s">
        <v>424</v>
      </c>
      <c r="Q5" s="485" t="s">
        <v>39</v>
      </c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82"/>
      <c r="C6" s="484"/>
      <c r="D6" s="46"/>
      <c r="F6" s="482" t="s">
        <v>427</v>
      </c>
      <c r="G6" s="485"/>
      <c r="H6" s="482"/>
      <c r="I6" s="484"/>
      <c r="J6" s="46"/>
      <c r="K6" s="485"/>
      <c r="L6" s="482"/>
      <c r="M6" s="483"/>
      <c r="N6" s="482"/>
      <c r="O6" s="484"/>
      <c r="P6" s="482"/>
      <c r="Q6" s="485"/>
      <c r="R6" s="579" t="s">
        <v>421</v>
      </c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82"/>
      <c r="C7" s="485"/>
      <c r="D7" s="482"/>
      <c r="E7" s="485"/>
      <c r="F7" s="482"/>
      <c r="G7" s="487"/>
      <c r="H7" s="482"/>
      <c r="I7" s="485"/>
      <c r="J7" s="482"/>
      <c r="K7" s="483"/>
      <c r="L7" s="490"/>
      <c r="M7" s="483"/>
      <c r="N7" s="482"/>
      <c r="O7" s="485"/>
      <c r="P7" s="491"/>
      <c r="Q7" s="487"/>
      <c r="R7" s="20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92"/>
      <c r="C8" s="493"/>
      <c r="D8" s="492"/>
      <c r="E8" s="485"/>
      <c r="F8" s="482"/>
      <c r="G8" s="484"/>
      <c r="H8" s="482"/>
      <c r="I8" s="484"/>
      <c r="J8" s="492"/>
      <c r="K8" s="494" t="s">
        <v>45</v>
      </c>
      <c r="L8" s="495"/>
      <c r="M8" s="494"/>
      <c r="N8" s="482"/>
      <c r="O8" s="485"/>
      <c r="P8" s="492"/>
      <c r="Q8" s="496"/>
      <c r="R8" s="403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97"/>
      <c r="C9" s="498">
        <v>3</v>
      </c>
      <c r="D9" s="499"/>
      <c r="E9" s="498">
        <v>2.5</v>
      </c>
      <c r="F9" s="499"/>
      <c r="G9" s="498">
        <v>3</v>
      </c>
      <c r="H9" s="500">
        <v>2.5</v>
      </c>
      <c r="I9" s="498">
        <f>H9-I11</f>
        <v>2.5</v>
      </c>
      <c r="J9" s="499"/>
      <c r="K9" s="498">
        <v>3</v>
      </c>
      <c r="L9" s="499">
        <v>2.5</v>
      </c>
      <c r="M9" s="498">
        <f>L9-M11</f>
        <v>2.5</v>
      </c>
      <c r="N9" s="501">
        <v>3</v>
      </c>
      <c r="O9" s="498">
        <f>N9-O11</f>
        <v>2.6</v>
      </c>
      <c r="P9" s="492">
        <v>2.25</v>
      </c>
      <c r="Q9" s="502">
        <f>P9-Q11</f>
        <v>1.55</v>
      </c>
      <c r="R9" s="40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503"/>
      <c r="C10" s="504"/>
      <c r="D10" s="501"/>
      <c r="E10" s="505"/>
      <c r="F10" s="506"/>
      <c r="G10" s="507"/>
      <c r="H10" s="508"/>
      <c r="I10" s="505"/>
      <c r="J10" s="503"/>
      <c r="K10" s="509"/>
      <c r="L10" s="510"/>
      <c r="M10" s="509"/>
      <c r="N10" s="482"/>
      <c r="O10" s="484"/>
      <c r="P10" s="492"/>
      <c r="Q10" s="487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511"/>
      <c r="C11" s="512"/>
      <c r="D11" s="513"/>
      <c r="E11" s="514"/>
      <c r="F11" s="515"/>
      <c r="G11" s="512"/>
      <c r="H11" s="516" t="s">
        <v>53</v>
      </c>
      <c r="I11" s="517">
        <v>0</v>
      </c>
      <c r="J11" s="515"/>
      <c r="K11" s="518"/>
      <c r="L11" s="516" t="s">
        <v>53</v>
      </c>
      <c r="M11" s="518">
        <v>0</v>
      </c>
      <c r="N11" s="516" t="s">
        <v>53</v>
      </c>
      <c r="O11" s="517">
        <v>0.4</v>
      </c>
      <c r="P11" s="515" t="s">
        <v>54</v>
      </c>
      <c r="Q11" s="519">
        <v>0.7</v>
      </c>
      <c r="R11" s="473" t="s">
        <v>316</v>
      </c>
      <c r="S11" s="474" t="s">
        <v>407</v>
      </c>
      <c r="T11" s="474" t="s">
        <v>322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520" t="s">
        <v>303</v>
      </c>
      <c r="C12" s="521" t="s">
        <v>213</v>
      </c>
      <c r="D12" s="522" t="s">
        <v>60</v>
      </c>
      <c r="E12" s="521" t="s">
        <v>213</v>
      </c>
      <c r="F12" s="523" t="s">
        <v>327</v>
      </c>
      <c r="G12" s="524" t="s">
        <v>213</v>
      </c>
      <c r="H12" s="523" t="s">
        <v>425</v>
      </c>
      <c r="I12" s="659" t="s">
        <v>435</v>
      </c>
      <c r="J12" s="523" t="s">
        <v>63</v>
      </c>
      <c r="K12" s="524" t="s">
        <v>213</v>
      </c>
      <c r="L12" s="525" t="s">
        <v>219</v>
      </c>
      <c r="M12" s="524" t="s">
        <v>213</v>
      </c>
      <c r="N12" s="522" t="s">
        <v>64</v>
      </c>
      <c r="O12" s="524" t="s">
        <v>213</v>
      </c>
      <c r="P12" s="569" t="s">
        <v>262</v>
      </c>
      <c r="Q12" s="526" t="s">
        <v>213</v>
      </c>
      <c r="R12" s="474" t="s">
        <v>317</v>
      </c>
      <c r="S12" s="474" t="s">
        <v>358</v>
      </c>
      <c r="T12" s="47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35" t="s">
        <v>55</v>
      </c>
      <c r="C13" s="528" t="s">
        <v>74</v>
      </c>
      <c r="D13" s="529" t="s">
        <v>66</v>
      </c>
      <c r="E13" s="524" t="s">
        <v>87</v>
      </c>
      <c r="F13" s="580" t="s">
        <v>67</v>
      </c>
      <c r="G13" s="528" t="s">
        <v>36</v>
      </c>
      <c r="H13" s="585" t="s">
        <v>382</v>
      </c>
      <c r="I13" s="584" t="s">
        <v>36</v>
      </c>
      <c r="J13" s="535" t="s">
        <v>66</v>
      </c>
      <c r="K13" s="524" t="s">
        <v>72</v>
      </c>
      <c r="L13" s="527" t="s">
        <v>428</v>
      </c>
      <c r="M13" s="484" t="s">
        <v>74</v>
      </c>
      <c r="N13" s="527" t="s">
        <v>382</v>
      </c>
      <c r="O13" s="528" t="s">
        <v>436</v>
      </c>
      <c r="P13" s="535" t="s">
        <v>55</v>
      </c>
      <c r="Q13" s="524" t="s">
        <v>87</v>
      </c>
      <c r="R13" s="472" t="s">
        <v>326</v>
      </c>
      <c r="S13" s="474" t="s">
        <v>319</v>
      </c>
      <c r="T13" s="55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12.5" customHeight="1">
      <c r="A14" s="96"/>
      <c r="B14" s="582" t="s">
        <v>426</v>
      </c>
      <c r="C14" s="583" t="s">
        <v>72</v>
      </c>
      <c r="D14" s="46"/>
      <c r="F14" s="570"/>
      <c r="G14" s="534"/>
      <c r="H14" s="530" t="s">
        <v>426</v>
      </c>
      <c r="I14" s="484" t="s">
        <v>87</v>
      </c>
      <c r="J14" s="535" t="s">
        <v>67</v>
      </c>
      <c r="K14" s="528" t="s">
        <v>39</v>
      </c>
      <c r="L14" s="46"/>
      <c r="N14" s="582" t="s">
        <v>411</v>
      </c>
      <c r="O14" s="584" t="s">
        <v>78</v>
      </c>
      <c r="P14" s="529"/>
      <c r="Q14" s="484"/>
      <c r="R14" s="581" t="s">
        <v>425</v>
      </c>
      <c r="S14" s="474" t="s">
        <v>356</v>
      </c>
      <c r="T14" s="55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14" customHeight="1">
      <c r="A15" s="40"/>
      <c r="B15" s="535"/>
      <c r="C15" s="537"/>
      <c r="D15" s="538"/>
      <c r="E15" s="528"/>
      <c r="F15" s="530"/>
      <c r="G15" s="528"/>
      <c r="H15" s="539"/>
      <c r="I15" s="537"/>
      <c r="J15" s="482"/>
      <c r="K15" s="484"/>
      <c r="L15" s="527"/>
      <c r="M15" s="537"/>
      <c r="N15" s="535"/>
      <c r="O15" s="537"/>
      <c r="P15" s="506"/>
      <c r="Q15" s="524"/>
      <c r="R15" s="472" t="s">
        <v>321</v>
      </c>
      <c r="S15" s="473" t="s">
        <v>318</v>
      </c>
      <c r="T15" s="55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71"/>
      <c r="C16" s="485"/>
      <c r="D16" s="572"/>
      <c r="E16" s="573"/>
      <c r="F16" s="571"/>
      <c r="G16" s="485"/>
      <c r="H16" s="574"/>
      <c r="I16" s="485"/>
      <c r="J16" s="525"/>
      <c r="K16" s="575"/>
      <c r="L16" s="576"/>
      <c r="M16" s="575"/>
      <c r="N16" s="571"/>
      <c r="O16" s="485"/>
      <c r="P16" s="571"/>
      <c r="Q16" s="540"/>
      <c r="R16" s="471" t="s">
        <v>332</v>
      </c>
      <c r="S16" s="476" t="s">
        <v>357</v>
      </c>
      <c r="T16" s="55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532"/>
      <c r="C17" s="541"/>
      <c r="D17" s="577" t="s">
        <v>413</v>
      </c>
      <c r="E17" s="543" t="s">
        <v>360</v>
      </c>
      <c r="F17" s="542" t="s">
        <v>249</v>
      </c>
      <c r="G17" s="544" t="s">
        <v>78</v>
      </c>
      <c r="H17" s="545"/>
      <c r="I17" s="546"/>
      <c r="J17" s="482"/>
      <c r="K17" s="484"/>
      <c r="L17" s="482"/>
      <c r="M17" s="484"/>
      <c r="N17" s="545" t="s">
        <v>414</v>
      </c>
      <c r="O17" s="546" t="s">
        <v>74</v>
      </c>
      <c r="P17" s="547" t="s">
        <v>54</v>
      </c>
      <c r="Q17" s="548">
        <v>0.4</v>
      </c>
      <c r="R17" s="678" t="s">
        <v>422</v>
      </c>
      <c r="S17" s="679"/>
      <c r="T17" s="680"/>
      <c r="U17" s="681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549">
        <f>B51</f>
        <v>1.6489104116222759</v>
      </c>
      <c r="C18" s="550"/>
      <c r="D18" s="549">
        <f>D51</f>
        <v>1.3740920096852298</v>
      </c>
      <c r="E18" s="551"/>
      <c r="F18" s="549">
        <f>F51</f>
        <v>1.6489104116222759</v>
      </c>
      <c r="G18" s="550"/>
      <c r="H18" s="549">
        <f>H51</f>
        <v>1.3740920096852298</v>
      </c>
      <c r="I18" s="550"/>
      <c r="J18" s="552">
        <f>J51</f>
        <v>1.6489104116222759</v>
      </c>
      <c r="K18" s="550"/>
      <c r="L18" s="552">
        <f>L51</f>
        <v>1.3740920096852298</v>
      </c>
      <c r="M18" s="550"/>
      <c r="N18" s="549">
        <f>N51</f>
        <v>1.4290556900726392</v>
      </c>
      <c r="O18" s="551"/>
      <c r="P18" s="553">
        <f>P51</f>
        <v>0.85193704600484255</v>
      </c>
      <c r="Q18" s="551">
        <f>P18+Q17</f>
        <v>1.2519370460048425</v>
      </c>
      <c r="R18" s="682"/>
      <c r="S18" s="683"/>
      <c r="T18" s="683"/>
      <c r="U18" s="684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65" t="s">
        <v>349</v>
      </c>
      <c r="C19" s="566" t="s">
        <v>429</v>
      </c>
      <c r="D19" s="565"/>
      <c r="E19" s="566"/>
      <c r="F19" s="565" t="s">
        <v>431</v>
      </c>
      <c r="G19" s="560" t="s">
        <v>434</v>
      </c>
      <c r="H19" s="565"/>
      <c r="I19" s="566"/>
      <c r="J19" s="565" t="s">
        <v>349</v>
      </c>
      <c r="K19" s="566" t="s">
        <v>430</v>
      </c>
      <c r="L19" s="561"/>
      <c r="M19" s="562"/>
      <c r="N19" s="565" t="s">
        <v>431</v>
      </c>
      <c r="O19" s="566" t="s">
        <v>433</v>
      </c>
      <c r="P19" s="565"/>
      <c r="Q19" s="566"/>
      <c r="R19" s="685" t="s">
        <v>90</v>
      </c>
      <c r="S19" s="686"/>
      <c r="T19" s="686"/>
      <c r="U19" s="687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59"/>
      <c r="C20" s="559"/>
      <c r="D20" s="558"/>
      <c r="E20" s="559"/>
      <c r="F20" s="563"/>
      <c r="G20" s="562"/>
      <c r="H20" s="564"/>
      <c r="I20" s="559"/>
      <c r="J20" s="565" t="s">
        <v>431</v>
      </c>
      <c r="K20" s="559" t="s">
        <v>432</v>
      </c>
      <c r="L20" s="558"/>
      <c r="M20" s="559"/>
      <c r="N20" s="558"/>
      <c r="O20" s="559"/>
      <c r="P20" s="558"/>
      <c r="Q20" s="559"/>
      <c r="R20" s="163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159"/>
      <c r="I21" s="107"/>
      <c r="J21" s="24"/>
      <c r="K21" s="160"/>
      <c r="L21" s="56"/>
      <c r="M21" s="107"/>
      <c r="N21" s="24"/>
      <c r="O21" s="107"/>
      <c r="P21" s="24"/>
      <c r="Q21" s="20"/>
      <c r="R21" s="168"/>
      <c r="S21" s="691" t="s">
        <v>93</v>
      </c>
      <c r="T21" s="691"/>
      <c r="U21" s="692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0">
      <c r="A22" s="19"/>
      <c r="D22" s="46"/>
      <c r="F22" s="170"/>
      <c r="G22" s="171"/>
      <c r="H22" s="24"/>
      <c r="I22" s="172"/>
      <c r="J22" s="46"/>
      <c r="L22" s="173" t="s">
        <v>117</v>
      </c>
      <c r="M22" s="172"/>
      <c r="N22" s="174"/>
      <c r="O22" s="175"/>
      <c r="P22" s="176"/>
      <c r="Q22" s="177"/>
      <c r="R22" s="693"/>
      <c r="S22" s="694"/>
      <c r="T22" s="694"/>
      <c r="U22" s="695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96"/>
      <c r="S23" s="697"/>
      <c r="T23" s="697"/>
      <c r="U23" s="698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1.8523002421307524</v>
      </c>
      <c r="C30" s="218"/>
      <c r="D30" s="219">
        <f>D44</f>
        <v>-9.9564164648910491</v>
      </c>
      <c r="E30" s="220"/>
      <c r="F30" s="221">
        <f>F44</f>
        <v>2.8523002421307524</v>
      </c>
      <c r="G30" s="221"/>
      <c r="H30" s="217">
        <f>H44</f>
        <v>-0.95641646489104915</v>
      </c>
      <c r="I30" s="218"/>
      <c r="J30" s="217">
        <f>J44</f>
        <v>17.852300242130752</v>
      </c>
      <c r="K30" s="222"/>
      <c r="L30" s="217">
        <f>L44</f>
        <v>1.0435835351089509</v>
      </c>
      <c r="M30" s="222"/>
      <c r="N30" s="217">
        <f>N44</f>
        <v>1.6053268765133168</v>
      </c>
      <c r="O30" s="222"/>
      <c r="P30" s="152">
        <f>P44</f>
        <v>-14.292978208232448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24"/>
      <c r="C31" s="445"/>
      <c r="D31" s="441" t="s">
        <v>23</v>
      </c>
      <c r="E31" s="445" t="s">
        <v>401</v>
      </c>
      <c r="F31" s="419" t="s">
        <v>405</v>
      </c>
      <c r="G31" s="464" t="s">
        <v>404</v>
      </c>
      <c r="H31" s="24" t="s">
        <v>308</v>
      </c>
      <c r="I31" s="464" t="s">
        <v>404</v>
      </c>
      <c r="J31" s="24"/>
      <c r="K31" s="445"/>
      <c r="L31" s="456"/>
      <c r="M31" s="464"/>
      <c r="N31" s="457"/>
      <c r="O31" s="445"/>
      <c r="P31" s="24" t="s">
        <v>403</v>
      </c>
      <c r="Q31" s="445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24"/>
      <c r="C32" s="107"/>
      <c r="D32" s="24"/>
      <c r="E32" s="229"/>
      <c r="F32" s="457" t="s">
        <v>406</v>
      </c>
      <c r="G32" s="229" t="s">
        <v>404</v>
      </c>
      <c r="H32" s="24"/>
      <c r="I32" s="445"/>
      <c r="J32" s="24"/>
      <c r="K32" s="229"/>
      <c r="L32" s="441"/>
      <c r="M32" s="229"/>
      <c r="N32" s="46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241"/>
      <c r="C33" s="107"/>
      <c r="D33" s="242"/>
      <c r="E33" s="480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197</v>
      </c>
      <c r="T33" s="232" t="s">
        <v>109</v>
      </c>
      <c r="U33" s="247" t="s">
        <v>110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669"/>
      <c r="W40" s="670"/>
      <c r="X40" s="670"/>
      <c r="Y40" s="671"/>
      <c r="Z40" s="302"/>
      <c r="AA40" s="303"/>
    </row>
    <row r="41" spans="1:33" ht="73" thickBot="1">
      <c r="A41" s="304" t="s">
        <v>136</v>
      </c>
      <c r="B41" s="305">
        <f>SUM(B43:T43)</f>
        <v>20.650000000000002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672"/>
      <c r="W41" s="673"/>
      <c r="X41" s="673"/>
      <c r="Y41" s="674"/>
      <c r="Z41" s="302"/>
      <c r="AA41" s="303"/>
    </row>
    <row r="42" spans="1:33" ht="72">
      <c r="A42" s="304" t="s">
        <v>137</v>
      </c>
      <c r="B42" s="294">
        <f>B40/B41</f>
        <v>25.617433414043582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3</v>
      </c>
      <c r="C43" s="295"/>
      <c r="D43" s="296">
        <f>E9</f>
        <v>2.5</v>
      </c>
      <c r="E43" s="297"/>
      <c r="F43" s="296">
        <f>G9</f>
        <v>3</v>
      </c>
      <c r="G43" s="297"/>
      <c r="H43" s="278">
        <f>I9</f>
        <v>2.5</v>
      </c>
      <c r="I43" s="299"/>
      <c r="J43" s="278">
        <f>K9</f>
        <v>3</v>
      </c>
      <c r="K43" s="299"/>
      <c r="L43" s="278">
        <f>M9</f>
        <v>2.5</v>
      </c>
      <c r="M43" s="299"/>
      <c r="N43" s="278">
        <f>O9</f>
        <v>2.6</v>
      </c>
      <c r="O43" s="299"/>
      <c r="P43" s="311">
        <f>Q9</f>
        <v>1.55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1.8523002421307524</v>
      </c>
      <c r="C44" s="295"/>
      <c r="D44" s="318">
        <f>B40/B41*D43-D45</f>
        <v>-9.9564164648910491</v>
      </c>
      <c r="E44" s="319"/>
      <c r="F44" s="318">
        <f>B40/B41*F43-F45</f>
        <v>2.8523002421307524</v>
      </c>
      <c r="G44" s="320"/>
      <c r="H44" s="321">
        <f>B40/B41*H43-H45</f>
        <v>-0.95641646489104915</v>
      </c>
      <c r="I44" s="322"/>
      <c r="J44" s="321">
        <f>B40/B41*J43-J45</f>
        <v>17.852300242130752</v>
      </c>
      <c r="K44" s="322"/>
      <c r="L44" s="321">
        <f>B40/B41*L43-L45</f>
        <v>1.0435835351089509</v>
      </c>
      <c r="M44" s="322"/>
      <c r="N44" s="321">
        <f>B40/B41*N43-N45</f>
        <v>1.6053268765133168</v>
      </c>
      <c r="O44" s="322"/>
      <c r="P44" s="311">
        <f>B40/B41*P43-P45</f>
        <v>-14.292978208232448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313</v>
      </c>
      <c r="K46" s="348">
        <v>59</v>
      </c>
      <c r="L46" s="349" t="s">
        <v>312</v>
      </c>
      <c r="M46" s="348">
        <v>63</v>
      </c>
      <c r="N46" s="349" t="s">
        <v>311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46.607929515418505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76.852300242130752</v>
      </c>
      <c r="C50" s="354"/>
      <c r="D50" s="354">
        <f>B42*D43</f>
        <v>64.043583535108951</v>
      </c>
      <c r="E50" s="354"/>
      <c r="F50" s="354">
        <f>B42*F43</f>
        <v>76.852300242130752</v>
      </c>
      <c r="G50" s="354"/>
      <c r="H50" s="359">
        <f>B42*H43</f>
        <v>64.043583535108951</v>
      </c>
      <c r="I50" s="354"/>
      <c r="J50" s="354">
        <f>B42*J43</f>
        <v>76.852300242130752</v>
      </c>
      <c r="K50" s="354"/>
      <c r="L50" s="354">
        <f>B42*L43</f>
        <v>64.043583535108951</v>
      </c>
      <c r="M50" s="354"/>
      <c r="N50" s="359">
        <f>B42*N43</f>
        <v>66.605326876513317</v>
      </c>
      <c r="O50" s="354"/>
      <c r="P50" s="354">
        <f>B42*P43</f>
        <v>39.707021791767552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1.6489104116222759</v>
      </c>
      <c r="C51" s="354"/>
      <c r="D51" s="354">
        <f>D50/B49</f>
        <v>1.3740920096852298</v>
      </c>
      <c r="E51" s="354"/>
      <c r="F51" s="354">
        <f>F50/B49</f>
        <v>1.6489104116222759</v>
      </c>
      <c r="G51" s="354"/>
      <c r="H51" s="354">
        <f>H50/B49</f>
        <v>1.3740920096852298</v>
      </c>
      <c r="I51" s="354"/>
      <c r="J51" s="354">
        <f>J50/B49</f>
        <v>1.6489104116222759</v>
      </c>
      <c r="K51" s="354"/>
      <c r="L51" s="354">
        <f>L50/B49</f>
        <v>1.3740920096852298</v>
      </c>
      <c r="M51" s="354"/>
      <c r="N51" s="359">
        <f>N50/B49</f>
        <v>1.4290556900726392</v>
      </c>
      <c r="O51" s="354"/>
      <c r="P51" s="354">
        <f>P50/B49</f>
        <v>0.85193704600484255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324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325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0.5</v>
      </c>
      <c r="D69" s="376" t="s">
        <v>178</v>
      </c>
      <c r="E69" s="376">
        <v>0.25</v>
      </c>
      <c r="F69" s="376">
        <f>Q17</f>
        <v>0.4</v>
      </c>
      <c r="G69" s="380">
        <v>1.5</v>
      </c>
      <c r="H69" s="376">
        <v>0</v>
      </c>
      <c r="I69" s="377">
        <v>0</v>
      </c>
      <c r="J69" s="376">
        <f>SUM(C69:H69)</f>
        <v>2.65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0.25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J101"/>
  <sheetViews>
    <sheetView topLeftCell="A2" zoomScale="40" zoomScaleNormal="40" workbookViewId="0">
      <selection activeCell="M15" sqref="M15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45971</v>
      </c>
      <c r="E1" s="3" t="str">
        <f>TEXT(D1, "dddd")</f>
        <v>星期一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82" t="s">
        <v>33</v>
      </c>
      <c r="C3" s="483"/>
      <c r="D3" s="482" t="s">
        <v>12</v>
      </c>
      <c r="E3" s="568" t="s">
        <v>446</v>
      </c>
      <c r="F3" s="484" t="s">
        <v>198</v>
      </c>
      <c r="G3" s="485"/>
      <c r="H3" s="482" t="s">
        <v>37</v>
      </c>
      <c r="I3" s="485"/>
      <c r="J3" s="482" t="s">
        <v>297</v>
      </c>
      <c r="K3" s="485"/>
      <c r="L3" s="482" t="s">
        <v>301</v>
      </c>
      <c r="M3" s="485"/>
      <c r="N3" s="482" t="s">
        <v>38</v>
      </c>
      <c r="O3" s="485"/>
      <c r="P3" s="486" t="s">
        <v>402</v>
      </c>
      <c r="Q3" s="483">
        <v>0.75</v>
      </c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82" t="s">
        <v>22</v>
      </c>
      <c r="C4" s="483"/>
      <c r="D4" s="482" t="s">
        <v>25</v>
      </c>
      <c r="E4" s="485"/>
      <c r="F4" s="482" t="s">
        <v>299</v>
      </c>
      <c r="G4" s="485"/>
      <c r="H4" s="482" t="s">
        <v>308</v>
      </c>
      <c r="I4" s="485"/>
      <c r="J4" s="482" t="s">
        <v>298</v>
      </c>
      <c r="K4" s="488"/>
      <c r="L4" s="489" t="s">
        <v>315</v>
      </c>
      <c r="M4" s="485">
        <v>0.75</v>
      </c>
      <c r="N4" s="482" t="s">
        <v>302</v>
      </c>
      <c r="O4" s="485"/>
      <c r="P4" s="482" t="s">
        <v>28</v>
      </c>
      <c r="Q4" s="485"/>
      <c r="R4" s="33" t="s">
        <v>305</v>
      </c>
      <c r="S4" s="34"/>
      <c r="T4" s="34" t="s">
        <v>304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.75" customHeight="1">
      <c r="A5" s="40"/>
      <c r="B5" s="46"/>
      <c r="C5" s="483"/>
      <c r="D5" s="482" t="s">
        <v>34</v>
      </c>
      <c r="E5" s="483"/>
      <c r="F5" s="482" t="s">
        <v>300</v>
      </c>
      <c r="G5" s="485"/>
      <c r="H5" s="46"/>
      <c r="I5" s="484"/>
      <c r="J5" s="482" t="s">
        <v>26</v>
      </c>
      <c r="K5" s="485"/>
      <c r="L5" s="46"/>
      <c r="N5" s="482" t="s">
        <v>13</v>
      </c>
      <c r="O5" s="485" t="s">
        <v>39</v>
      </c>
      <c r="P5" s="482" t="s">
        <v>50</v>
      </c>
      <c r="Q5" s="484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82"/>
      <c r="C6" s="484"/>
      <c r="D6" s="482"/>
      <c r="E6" s="485"/>
      <c r="F6" s="482"/>
      <c r="G6" s="485"/>
      <c r="H6" s="482"/>
      <c r="I6" s="484"/>
      <c r="J6" s="482"/>
      <c r="K6" s="485"/>
      <c r="L6" s="482"/>
      <c r="M6" s="483"/>
      <c r="N6" s="482"/>
      <c r="O6" s="484"/>
      <c r="P6" s="482"/>
      <c r="Q6" s="485"/>
      <c r="R6" s="47" t="s">
        <v>444</v>
      </c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82"/>
      <c r="C7" s="485"/>
      <c r="D7" s="482"/>
      <c r="E7" s="485"/>
      <c r="F7" s="482"/>
      <c r="G7" s="487"/>
      <c r="H7" s="482"/>
      <c r="I7" s="485"/>
      <c r="J7" s="482"/>
      <c r="K7" s="483"/>
      <c r="L7" s="490"/>
      <c r="M7" s="483"/>
      <c r="N7" s="482"/>
      <c r="O7" s="485"/>
      <c r="P7" s="491"/>
      <c r="Q7" s="487"/>
      <c r="R7" s="20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92"/>
      <c r="C8" s="493"/>
      <c r="D8" s="492"/>
      <c r="E8" s="485"/>
      <c r="F8" s="482"/>
      <c r="G8" s="484"/>
      <c r="H8" s="482"/>
      <c r="I8" s="484"/>
      <c r="J8" s="492"/>
      <c r="K8" s="494" t="s">
        <v>45</v>
      </c>
      <c r="L8" s="495"/>
      <c r="M8" s="494"/>
      <c r="N8" s="482"/>
      <c r="O8" s="485"/>
      <c r="P8" s="492"/>
      <c r="Q8" s="496"/>
      <c r="R8" s="403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97"/>
      <c r="C9" s="498">
        <v>2</v>
      </c>
      <c r="D9" s="499"/>
      <c r="E9" s="498">
        <v>2.5</v>
      </c>
      <c r="F9" s="499"/>
      <c r="G9" s="498">
        <v>3</v>
      </c>
      <c r="H9" s="500">
        <v>2</v>
      </c>
      <c r="I9" s="498">
        <f>H9-I11</f>
        <v>2</v>
      </c>
      <c r="J9" s="499"/>
      <c r="K9" s="498">
        <v>3</v>
      </c>
      <c r="L9" s="499">
        <v>1.75</v>
      </c>
      <c r="M9" s="498">
        <f>L9-M11</f>
        <v>1.5</v>
      </c>
      <c r="N9" s="501">
        <v>2.5</v>
      </c>
      <c r="O9" s="498">
        <f>N9-O11</f>
        <v>2.5</v>
      </c>
      <c r="P9" s="492">
        <v>2.75</v>
      </c>
      <c r="Q9" s="502">
        <f>P9-Q11</f>
        <v>2.0499999999999998</v>
      </c>
      <c r="R9" s="40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503"/>
      <c r="C10" s="504"/>
      <c r="D10" s="501"/>
      <c r="E10" s="505"/>
      <c r="F10" s="506"/>
      <c r="G10" s="507"/>
      <c r="H10" s="508"/>
      <c r="I10" s="505"/>
      <c r="J10" s="503"/>
      <c r="K10" s="509"/>
      <c r="L10" s="510"/>
      <c r="M10" s="509"/>
      <c r="N10" s="482"/>
      <c r="O10" s="484"/>
      <c r="P10" s="492"/>
      <c r="Q10" s="487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511"/>
      <c r="C11" s="512"/>
      <c r="D11" s="513"/>
      <c r="E11" s="514"/>
      <c r="F11" s="515"/>
      <c r="G11" s="512"/>
      <c r="H11" s="516" t="s">
        <v>53</v>
      </c>
      <c r="I11" s="517">
        <v>0</v>
      </c>
      <c r="J11" s="515"/>
      <c r="K11" s="518"/>
      <c r="L11" s="516" t="s">
        <v>53</v>
      </c>
      <c r="M11" s="518">
        <v>0.25</v>
      </c>
      <c r="N11" s="516" t="s">
        <v>53</v>
      </c>
      <c r="O11" s="517">
        <v>0</v>
      </c>
      <c r="P11" s="515" t="s">
        <v>54</v>
      </c>
      <c r="Q11" s="519">
        <v>0.7</v>
      </c>
      <c r="R11" s="92" t="s">
        <v>447</v>
      </c>
      <c r="S11" s="474" t="s">
        <v>320</v>
      </c>
      <c r="T11" s="474" t="s">
        <v>322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523" t="s">
        <v>447</v>
      </c>
      <c r="C12" s="521" t="s">
        <v>213</v>
      </c>
      <c r="D12" s="660" t="s">
        <v>263</v>
      </c>
      <c r="E12" s="659" t="s">
        <v>213</v>
      </c>
      <c r="F12" s="523" t="s">
        <v>327</v>
      </c>
      <c r="G12" s="524" t="s">
        <v>213</v>
      </c>
      <c r="H12" s="661" t="s">
        <v>410</v>
      </c>
      <c r="I12" s="659" t="s">
        <v>213</v>
      </c>
      <c r="J12" s="662" t="s">
        <v>189</v>
      </c>
      <c r="K12" s="663" t="s">
        <v>213</v>
      </c>
      <c r="L12" s="525" t="s">
        <v>219</v>
      </c>
      <c r="M12" s="524" t="s">
        <v>213</v>
      </c>
      <c r="N12" s="522" t="s">
        <v>64</v>
      </c>
      <c r="O12" s="524" t="s">
        <v>213</v>
      </c>
      <c r="P12" s="569" t="s">
        <v>445</v>
      </c>
      <c r="Q12" s="526" t="s">
        <v>213</v>
      </c>
      <c r="R12" s="474" t="s">
        <v>442</v>
      </c>
      <c r="S12" s="474" t="s">
        <v>381</v>
      </c>
      <c r="T12" s="47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27"/>
      <c r="C13" s="528"/>
      <c r="D13" s="580" t="s">
        <v>67</v>
      </c>
      <c r="E13" s="528" t="s">
        <v>87</v>
      </c>
      <c r="F13" s="529" t="s">
        <v>71</v>
      </c>
      <c r="G13" s="484" t="s">
        <v>36</v>
      </c>
      <c r="H13" s="530"/>
      <c r="I13" s="588"/>
      <c r="J13" s="586" t="s">
        <v>67</v>
      </c>
      <c r="K13" s="484" t="s">
        <v>36</v>
      </c>
      <c r="L13" s="527"/>
      <c r="M13" s="588"/>
      <c r="N13" s="586" t="s">
        <v>67</v>
      </c>
      <c r="O13" s="528" t="s">
        <v>74</v>
      </c>
      <c r="P13" s="586" t="s">
        <v>218</v>
      </c>
      <c r="Q13" s="524" t="s">
        <v>72</v>
      </c>
      <c r="R13" s="472" t="s">
        <v>326</v>
      </c>
      <c r="S13" s="474" t="s">
        <v>319</v>
      </c>
      <c r="T13" s="55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12.5" customHeight="1">
      <c r="A14" s="96"/>
      <c r="B14" s="530"/>
      <c r="C14" s="528"/>
      <c r="D14" s="46"/>
      <c r="F14" s="587"/>
      <c r="G14" s="177"/>
      <c r="H14" s="532"/>
      <c r="I14" s="528"/>
      <c r="J14" s="529"/>
      <c r="K14" s="484"/>
      <c r="L14" s="527"/>
      <c r="M14" s="589"/>
      <c r="N14" s="529"/>
      <c r="O14" s="588"/>
      <c r="P14" s="529"/>
      <c r="Q14" s="484"/>
      <c r="R14" s="472" t="s">
        <v>449</v>
      </c>
      <c r="S14" s="474" t="s">
        <v>356</v>
      </c>
      <c r="T14" s="55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14" customHeight="1">
      <c r="A15" s="40"/>
      <c r="B15" s="535"/>
      <c r="C15" s="537"/>
      <c r="D15" s="538"/>
      <c r="E15" s="528"/>
      <c r="F15" s="664" t="s">
        <v>204</v>
      </c>
      <c r="G15" s="528" t="s">
        <v>739</v>
      </c>
      <c r="H15" s="539"/>
      <c r="I15" s="537"/>
      <c r="J15" s="664" t="s">
        <v>204</v>
      </c>
      <c r="K15" s="20" t="s">
        <v>220</v>
      </c>
      <c r="L15" s="506"/>
      <c r="M15" s="590"/>
      <c r="N15" s="586" t="s">
        <v>67</v>
      </c>
      <c r="O15" s="590" t="s">
        <v>739</v>
      </c>
      <c r="P15" s="586" t="s">
        <v>67</v>
      </c>
      <c r="Q15" s="524" t="s">
        <v>740</v>
      </c>
      <c r="R15" s="472" t="s">
        <v>321</v>
      </c>
      <c r="S15" s="474" t="s">
        <v>448</v>
      </c>
      <c r="T15" s="55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71"/>
      <c r="C16" s="485"/>
      <c r="F16" s="586" t="s">
        <v>218</v>
      </c>
      <c r="G16" s="524" t="s">
        <v>72</v>
      </c>
      <c r="H16" s="574"/>
      <c r="I16" s="485"/>
      <c r="J16" s="586" t="s">
        <v>67</v>
      </c>
      <c r="K16" s="528" t="s">
        <v>74</v>
      </c>
      <c r="L16" s="576"/>
      <c r="M16" s="575"/>
      <c r="N16" s="571"/>
      <c r="O16" s="591"/>
      <c r="P16" s="571"/>
      <c r="Q16" s="540"/>
      <c r="R16" s="471" t="s">
        <v>445</v>
      </c>
      <c r="S16" s="476" t="s">
        <v>443</v>
      </c>
      <c r="T16" s="55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532"/>
      <c r="C17" s="541"/>
      <c r="D17" s="577" t="s">
        <v>413</v>
      </c>
      <c r="E17" s="543" t="s">
        <v>39</v>
      </c>
      <c r="F17" s="542" t="s">
        <v>249</v>
      </c>
      <c r="G17" s="544" t="s">
        <v>78</v>
      </c>
      <c r="H17" s="545"/>
      <c r="I17" s="546"/>
      <c r="J17" s="482"/>
      <c r="K17" s="484"/>
      <c r="L17" s="482"/>
      <c r="M17" s="484"/>
      <c r="N17" s="545"/>
      <c r="O17" s="546"/>
      <c r="P17" s="547" t="s">
        <v>54</v>
      </c>
      <c r="Q17" s="548">
        <v>0.4</v>
      </c>
      <c r="R17" s="678" t="s">
        <v>437</v>
      </c>
      <c r="S17" s="679"/>
      <c r="T17" s="680"/>
      <c r="U17" s="681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549">
        <f>B51</f>
        <v>1.0080862533692723</v>
      </c>
      <c r="C18" s="550"/>
      <c r="D18" s="549">
        <f>D51</f>
        <v>1.2601078167115902</v>
      </c>
      <c r="E18" s="551"/>
      <c r="F18" s="549">
        <f>F51</f>
        <v>1.5121293800539082</v>
      </c>
      <c r="G18" s="550"/>
      <c r="H18" s="549">
        <f>H51</f>
        <v>1.0080862533692723</v>
      </c>
      <c r="I18" s="550"/>
      <c r="J18" s="552">
        <f>J51</f>
        <v>1.5121293800539082</v>
      </c>
      <c r="K18" s="550"/>
      <c r="L18" s="552">
        <f>L51</f>
        <v>0.75606469002695409</v>
      </c>
      <c r="M18" s="550"/>
      <c r="N18" s="549">
        <f>N51</f>
        <v>1.2601078167115902</v>
      </c>
      <c r="O18" s="551"/>
      <c r="P18" s="553">
        <f>P51</f>
        <v>1.0332884097035038</v>
      </c>
      <c r="Q18" s="551">
        <f>P18+Q17</f>
        <v>1.4332884097035037</v>
      </c>
      <c r="R18" s="682"/>
      <c r="S18" s="683"/>
      <c r="T18" s="683"/>
      <c r="U18" s="684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65"/>
      <c r="C19" s="566"/>
      <c r="D19" s="565"/>
      <c r="E19" s="566"/>
      <c r="F19" s="565" t="s">
        <v>452</v>
      </c>
      <c r="G19" s="560" t="s">
        <v>453</v>
      </c>
      <c r="H19" s="565"/>
      <c r="I19" s="566"/>
      <c r="J19" s="565" t="s">
        <v>450</v>
      </c>
      <c r="K19" s="567" t="s">
        <v>451</v>
      </c>
      <c r="L19" s="561"/>
      <c r="M19" s="562"/>
      <c r="N19" s="565" t="s">
        <v>259</v>
      </c>
      <c r="O19" s="566" t="s">
        <v>455</v>
      </c>
      <c r="P19" s="565" t="s">
        <v>310</v>
      </c>
      <c r="Q19" s="566" t="s">
        <v>454</v>
      </c>
      <c r="R19" s="685" t="s">
        <v>90</v>
      </c>
      <c r="S19" s="686"/>
      <c r="T19" s="686"/>
      <c r="U19" s="687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59"/>
      <c r="C20" s="559"/>
      <c r="D20" s="558"/>
      <c r="E20" s="559"/>
      <c r="F20" s="563" t="s">
        <v>310</v>
      </c>
      <c r="G20" s="562" t="s">
        <v>454</v>
      </c>
      <c r="H20" s="564"/>
      <c r="I20" s="559"/>
      <c r="J20" s="558" t="s">
        <v>310</v>
      </c>
      <c r="K20" s="559" t="s">
        <v>456</v>
      </c>
      <c r="L20" s="558"/>
      <c r="M20" s="559"/>
      <c r="N20" s="558" t="s">
        <v>310</v>
      </c>
      <c r="O20" s="559" t="s">
        <v>455</v>
      </c>
      <c r="P20" s="558"/>
      <c r="Q20" s="559"/>
      <c r="R20" s="163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159"/>
      <c r="I21" s="107"/>
      <c r="J21" s="24"/>
      <c r="K21" s="160"/>
      <c r="L21" s="56"/>
      <c r="M21" s="107"/>
      <c r="N21" s="24"/>
      <c r="O21" s="107"/>
      <c r="P21" s="24"/>
      <c r="Q21" s="20"/>
      <c r="R21" s="168"/>
      <c r="S21" s="691" t="s">
        <v>93</v>
      </c>
      <c r="T21" s="691"/>
      <c r="U21" s="692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0">
      <c r="A22" s="19"/>
      <c r="D22" s="46"/>
      <c r="F22" s="170"/>
      <c r="G22" s="171"/>
      <c r="H22" s="24"/>
      <c r="I22" s="172"/>
      <c r="J22" s="46"/>
      <c r="L22" s="173" t="s">
        <v>117</v>
      </c>
      <c r="M22" s="172"/>
      <c r="N22" s="174"/>
      <c r="O22" s="175"/>
      <c r="P22" s="176"/>
      <c r="Q22" s="177"/>
      <c r="R22" s="693"/>
      <c r="S22" s="694"/>
      <c r="T22" s="694"/>
      <c r="U22" s="695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96"/>
      <c r="S23" s="697"/>
      <c r="T23" s="697"/>
      <c r="U23" s="698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-17.964959568733157</v>
      </c>
      <c r="C30" s="218"/>
      <c r="D30" s="219">
        <f>D44</f>
        <v>-2.7061994609164515</v>
      </c>
      <c r="E30" s="220"/>
      <c r="F30" s="221">
        <f>F44</f>
        <v>11.552560646900261</v>
      </c>
      <c r="G30" s="221"/>
      <c r="H30" s="217">
        <f>H44</f>
        <v>-7.9649595687331569</v>
      </c>
      <c r="I30" s="218"/>
      <c r="J30" s="217">
        <f>J44</f>
        <v>26.552560646900261</v>
      </c>
      <c r="K30" s="222"/>
      <c r="L30" s="217">
        <f>L44</f>
        <v>-20.223719676549869</v>
      </c>
      <c r="M30" s="222"/>
      <c r="N30" s="217">
        <f>N44</f>
        <v>6.2938005390835485</v>
      </c>
      <c r="O30" s="222"/>
      <c r="P30" s="152">
        <f>P44</f>
        <v>4.4609164420485072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24" t="s">
        <v>196</v>
      </c>
      <c r="C31" s="445" t="s">
        <v>438</v>
      </c>
      <c r="D31" s="441" t="s">
        <v>23</v>
      </c>
      <c r="E31" s="445" t="s">
        <v>401</v>
      </c>
      <c r="F31" s="419"/>
      <c r="G31" s="464"/>
      <c r="H31" s="486" t="s">
        <v>47</v>
      </c>
      <c r="I31" s="464" t="s">
        <v>242</v>
      </c>
      <c r="J31" s="24"/>
      <c r="K31" s="445"/>
      <c r="L31" s="456" t="s">
        <v>27</v>
      </c>
      <c r="M31" s="464" t="s">
        <v>99</v>
      </c>
      <c r="N31" s="457" t="s">
        <v>15</v>
      </c>
      <c r="O31" s="445" t="s">
        <v>438</v>
      </c>
      <c r="P31" s="24" t="s">
        <v>439</v>
      </c>
      <c r="Q31" s="448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24"/>
      <c r="C32" s="107"/>
      <c r="D32" s="24" t="s">
        <v>440</v>
      </c>
      <c r="E32" s="229"/>
      <c r="F32" s="457"/>
      <c r="G32" s="229"/>
      <c r="H32" s="24"/>
      <c r="I32" s="445"/>
      <c r="J32" s="24"/>
      <c r="K32" s="229"/>
      <c r="L32" s="441"/>
      <c r="M32" s="229"/>
      <c r="N32" s="46"/>
      <c r="P32" s="24" t="s">
        <v>441</v>
      </c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241"/>
      <c r="C33" s="107"/>
      <c r="D33" s="242"/>
      <c r="E33" s="480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197</v>
      </c>
      <c r="T33" s="232" t="s">
        <v>109</v>
      </c>
      <c r="U33" s="247" t="s">
        <v>110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669"/>
      <c r="W40" s="670"/>
      <c r="X40" s="670"/>
      <c r="Y40" s="671"/>
      <c r="Z40" s="302"/>
      <c r="AA40" s="303"/>
    </row>
    <row r="41" spans="1:33" ht="73" thickBot="1">
      <c r="A41" s="304" t="s">
        <v>136</v>
      </c>
      <c r="B41" s="305">
        <f>SUM(B43:T43)</f>
        <v>18.55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672"/>
      <c r="W41" s="673"/>
      <c r="X41" s="673"/>
      <c r="Y41" s="674"/>
      <c r="Z41" s="302"/>
      <c r="AA41" s="303"/>
    </row>
    <row r="42" spans="1:33" ht="72">
      <c r="A42" s="304" t="s">
        <v>137</v>
      </c>
      <c r="B42" s="294">
        <f>B40/B41</f>
        <v>28.517520215633422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2</v>
      </c>
      <c r="C43" s="295"/>
      <c r="D43" s="296">
        <f>E9</f>
        <v>2.5</v>
      </c>
      <c r="E43" s="297"/>
      <c r="F43" s="296">
        <f>G9</f>
        <v>3</v>
      </c>
      <c r="G43" s="297"/>
      <c r="H43" s="278">
        <f>I9</f>
        <v>2</v>
      </c>
      <c r="I43" s="299"/>
      <c r="J43" s="278">
        <f>K9</f>
        <v>3</v>
      </c>
      <c r="K43" s="299"/>
      <c r="L43" s="278">
        <f>M9</f>
        <v>1.5</v>
      </c>
      <c r="M43" s="299"/>
      <c r="N43" s="278">
        <f>O9</f>
        <v>2.5</v>
      </c>
      <c r="O43" s="299"/>
      <c r="P43" s="311">
        <f>Q9</f>
        <v>2.0499999999999998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-17.964959568733157</v>
      </c>
      <c r="C44" s="295"/>
      <c r="D44" s="318">
        <f>B40/B41*D43-D45</f>
        <v>-2.7061994609164515</v>
      </c>
      <c r="E44" s="319"/>
      <c r="F44" s="318">
        <f>B40/B41*F43-F45</f>
        <v>11.552560646900261</v>
      </c>
      <c r="G44" s="320"/>
      <c r="H44" s="321">
        <f>B40/B41*H43-H45</f>
        <v>-7.9649595687331569</v>
      </c>
      <c r="I44" s="322"/>
      <c r="J44" s="321">
        <f>B40/B41*J43-J45</f>
        <v>26.552560646900261</v>
      </c>
      <c r="K44" s="322"/>
      <c r="L44" s="321">
        <f>B40/B41*L43-L45</f>
        <v>-20.223719676549869</v>
      </c>
      <c r="M44" s="322"/>
      <c r="N44" s="321">
        <f>B40/B41*N43-N45</f>
        <v>6.2938005390835485</v>
      </c>
      <c r="O44" s="322"/>
      <c r="P44" s="311">
        <f>B40/B41*P43-P45</f>
        <v>4.4609164420485072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313</v>
      </c>
      <c r="K46" s="348">
        <v>59</v>
      </c>
      <c r="L46" s="349" t="s">
        <v>312</v>
      </c>
      <c r="M46" s="348">
        <v>63</v>
      </c>
      <c r="N46" s="349" t="s">
        <v>311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9.35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56.577540106951872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57.035040431266843</v>
      </c>
      <c r="C50" s="354"/>
      <c r="D50" s="354">
        <f>B42*D43</f>
        <v>71.293800539083549</v>
      </c>
      <c r="E50" s="354"/>
      <c r="F50" s="354">
        <f>B42*F43</f>
        <v>85.552560646900261</v>
      </c>
      <c r="G50" s="354"/>
      <c r="H50" s="359">
        <f>B42*H43</f>
        <v>57.035040431266843</v>
      </c>
      <c r="I50" s="354"/>
      <c r="J50" s="354">
        <f>B42*J43</f>
        <v>85.552560646900261</v>
      </c>
      <c r="K50" s="354"/>
      <c r="L50" s="354">
        <f>B42*L43</f>
        <v>42.776280323450131</v>
      </c>
      <c r="M50" s="354"/>
      <c r="N50" s="359">
        <f>B42*N43</f>
        <v>71.293800539083549</v>
      </c>
      <c r="O50" s="354"/>
      <c r="P50" s="354">
        <f>B42*P43</f>
        <v>58.460916442048507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1.0080862533692723</v>
      </c>
      <c r="C51" s="354"/>
      <c r="D51" s="354">
        <f>D50/B49</f>
        <v>1.2601078167115902</v>
      </c>
      <c r="E51" s="354"/>
      <c r="F51" s="354">
        <f>F50/B49</f>
        <v>1.5121293800539082</v>
      </c>
      <c r="G51" s="354"/>
      <c r="H51" s="354">
        <f>H50/B49</f>
        <v>1.0080862533692723</v>
      </c>
      <c r="I51" s="354"/>
      <c r="J51" s="354">
        <f>J50/B49</f>
        <v>1.5121293800539082</v>
      </c>
      <c r="K51" s="354"/>
      <c r="L51" s="354">
        <f>L50/B49</f>
        <v>0.75606469002695409</v>
      </c>
      <c r="M51" s="354"/>
      <c r="N51" s="359">
        <f>N50/B49</f>
        <v>1.2601078167115902</v>
      </c>
      <c r="O51" s="354"/>
      <c r="P51" s="354">
        <f>P50/B49</f>
        <v>1.0332884097035038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324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325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</v>
      </c>
      <c r="F69" s="376">
        <f>Q17</f>
        <v>0.4</v>
      </c>
      <c r="G69" s="380">
        <v>3.5</v>
      </c>
      <c r="H69" s="376">
        <v>0</v>
      </c>
      <c r="I69" s="377">
        <v>0</v>
      </c>
      <c r="J69" s="376">
        <f>SUM(C69:H69)</f>
        <v>4.6500000000000004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J101"/>
  <sheetViews>
    <sheetView topLeftCell="A3" zoomScale="40" zoomScaleNormal="40" workbookViewId="0">
      <selection activeCell="E17" sqref="E17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45972</v>
      </c>
      <c r="E1" s="3" t="str">
        <f>TEXT(D1, "dddd")</f>
        <v>星期二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84" t="s">
        <v>385</v>
      </c>
      <c r="C3" s="485" t="s">
        <v>464</v>
      </c>
      <c r="D3" s="482" t="s">
        <v>12</v>
      </c>
      <c r="E3" s="568" t="s">
        <v>465</v>
      </c>
      <c r="F3" s="484" t="s">
        <v>198</v>
      </c>
      <c r="G3" s="485"/>
      <c r="H3" s="482" t="s">
        <v>37</v>
      </c>
      <c r="I3" s="485"/>
      <c r="J3" s="482" t="s">
        <v>297</v>
      </c>
      <c r="K3" s="485"/>
      <c r="L3" s="482" t="s">
        <v>301</v>
      </c>
      <c r="M3" s="485"/>
      <c r="N3" s="482" t="s">
        <v>15</v>
      </c>
      <c r="O3" s="485"/>
      <c r="P3" s="486" t="s">
        <v>402</v>
      </c>
      <c r="Q3" s="483"/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82" t="s">
        <v>33</v>
      </c>
      <c r="C4" s="485">
        <v>0.75</v>
      </c>
      <c r="D4" s="482" t="s">
        <v>25</v>
      </c>
      <c r="E4" s="485"/>
      <c r="F4" s="482" t="s">
        <v>299</v>
      </c>
      <c r="G4" s="485"/>
      <c r="H4" s="482" t="s">
        <v>308</v>
      </c>
      <c r="I4" s="485"/>
      <c r="J4" s="482" t="s">
        <v>463</v>
      </c>
      <c r="K4" s="488"/>
      <c r="L4" s="482" t="s">
        <v>298</v>
      </c>
      <c r="N4" s="482" t="s">
        <v>38</v>
      </c>
      <c r="O4" s="485"/>
      <c r="P4" s="482" t="s">
        <v>28</v>
      </c>
      <c r="Q4" s="485"/>
      <c r="R4" s="33" t="s">
        <v>305</v>
      </c>
      <c r="S4" s="34"/>
      <c r="T4" s="34" t="s">
        <v>304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.75" customHeight="1">
      <c r="A5" s="40"/>
      <c r="B5" s="482" t="s">
        <v>22</v>
      </c>
      <c r="C5" s="483"/>
      <c r="D5" s="482" t="s">
        <v>34</v>
      </c>
      <c r="E5" s="483"/>
      <c r="F5" s="482" t="s">
        <v>300</v>
      </c>
      <c r="G5" s="485"/>
      <c r="H5" s="482" t="s">
        <v>13</v>
      </c>
      <c r="I5" s="485" t="s">
        <v>36</v>
      </c>
      <c r="J5" s="482"/>
      <c r="K5" s="485"/>
      <c r="L5" s="489" t="s">
        <v>315</v>
      </c>
      <c r="M5" s="485">
        <v>0.5</v>
      </c>
      <c r="N5" s="482" t="s">
        <v>302</v>
      </c>
      <c r="O5" s="485"/>
      <c r="P5" s="482" t="s">
        <v>50</v>
      </c>
      <c r="Q5" s="484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82"/>
      <c r="C6" s="484"/>
      <c r="D6" s="482"/>
      <c r="E6" s="485"/>
      <c r="F6" s="482"/>
      <c r="G6" s="485"/>
      <c r="H6" s="482"/>
      <c r="I6" s="484"/>
      <c r="J6" s="482"/>
      <c r="K6" s="485"/>
      <c r="L6" s="482"/>
      <c r="M6" s="483"/>
      <c r="N6" s="482"/>
      <c r="O6" s="484"/>
      <c r="P6" s="482"/>
      <c r="Q6" s="485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82"/>
      <c r="C7" s="485"/>
      <c r="D7" s="482"/>
      <c r="E7" s="485"/>
      <c r="F7" s="482"/>
      <c r="G7" s="487"/>
      <c r="H7" s="482"/>
      <c r="I7" s="485"/>
      <c r="J7" s="482"/>
      <c r="K7" s="483"/>
      <c r="L7" s="490"/>
      <c r="M7" s="483"/>
      <c r="N7" s="482"/>
      <c r="O7" s="485"/>
      <c r="P7" s="491"/>
      <c r="Q7" s="487"/>
      <c r="R7" s="20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92"/>
      <c r="C8" s="493"/>
      <c r="D8" s="492"/>
      <c r="E8" s="485"/>
      <c r="F8" s="482"/>
      <c r="G8" s="484"/>
      <c r="H8" s="482"/>
      <c r="I8" s="484"/>
      <c r="J8" s="492"/>
      <c r="K8" s="494" t="s">
        <v>45</v>
      </c>
      <c r="L8" s="495"/>
      <c r="M8" s="494"/>
      <c r="N8" s="482"/>
      <c r="O8" s="485"/>
      <c r="P8" s="492"/>
      <c r="Q8" s="496"/>
      <c r="R8" s="403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97"/>
      <c r="C9" s="498">
        <v>2.25</v>
      </c>
      <c r="D9" s="499"/>
      <c r="E9" s="498">
        <v>2.5</v>
      </c>
      <c r="F9" s="499"/>
      <c r="G9" s="498">
        <v>3</v>
      </c>
      <c r="H9" s="500">
        <v>2.5</v>
      </c>
      <c r="I9" s="498">
        <f>H9-I11</f>
        <v>2.5</v>
      </c>
      <c r="J9" s="499"/>
      <c r="K9" s="498">
        <v>2</v>
      </c>
      <c r="L9" s="499">
        <v>2.5</v>
      </c>
      <c r="M9" s="498">
        <f>L9-M11</f>
        <v>2.1</v>
      </c>
      <c r="N9" s="501">
        <v>3</v>
      </c>
      <c r="O9" s="498">
        <f>N9-O11</f>
        <v>3</v>
      </c>
      <c r="P9" s="492">
        <v>3</v>
      </c>
      <c r="Q9" s="502">
        <f>P9-Q11</f>
        <v>2.2999999999999998</v>
      </c>
      <c r="R9" s="40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503"/>
      <c r="C10" s="504"/>
      <c r="D10" s="501"/>
      <c r="E10" s="505"/>
      <c r="F10" s="506"/>
      <c r="G10" s="507"/>
      <c r="H10" s="508"/>
      <c r="I10" s="505"/>
      <c r="J10" s="503"/>
      <c r="K10" s="509"/>
      <c r="L10" s="510"/>
      <c r="M10" s="509"/>
      <c r="N10" s="482"/>
      <c r="O10" s="484"/>
      <c r="P10" s="492"/>
      <c r="Q10" s="487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511"/>
      <c r="C11" s="512"/>
      <c r="D11" s="513"/>
      <c r="E11" s="514"/>
      <c r="F11" s="515"/>
      <c r="G11" s="512"/>
      <c r="H11" s="516" t="s">
        <v>53</v>
      </c>
      <c r="I11" s="517">
        <v>0</v>
      </c>
      <c r="J11" s="515"/>
      <c r="K11" s="518"/>
      <c r="L11" s="516" t="s">
        <v>53</v>
      </c>
      <c r="M11" s="518">
        <v>0.4</v>
      </c>
      <c r="N11" s="516" t="s">
        <v>53</v>
      </c>
      <c r="O11" s="517">
        <v>0</v>
      </c>
      <c r="P11" s="515" t="s">
        <v>54</v>
      </c>
      <c r="Q11" s="519">
        <v>0.7</v>
      </c>
      <c r="R11" s="92" t="s">
        <v>447</v>
      </c>
      <c r="S11" s="595" t="s">
        <v>320</v>
      </c>
      <c r="T11" s="474" t="s">
        <v>468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523" t="s">
        <v>447</v>
      </c>
      <c r="C12" s="521" t="s">
        <v>213</v>
      </c>
      <c r="D12" s="522" t="s">
        <v>461</v>
      </c>
      <c r="E12" s="521" t="s">
        <v>213</v>
      </c>
      <c r="F12" s="523" t="s">
        <v>327</v>
      </c>
      <c r="G12" s="524" t="s">
        <v>213</v>
      </c>
      <c r="H12" s="527" t="s">
        <v>459</v>
      </c>
      <c r="I12" s="521" t="s">
        <v>213</v>
      </c>
      <c r="J12" s="529" t="s">
        <v>428</v>
      </c>
      <c r="K12" s="524" t="s">
        <v>213</v>
      </c>
      <c r="L12" s="525" t="s">
        <v>219</v>
      </c>
      <c r="M12" s="524" t="s">
        <v>213</v>
      </c>
      <c r="N12" s="522" t="s">
        <v>64</v>
      </c>
      <c r="O12" s="524" t="s">
        <v>213</v>
      </c>
      <c r="P12" s="569" t="s">
        <v>445</v>
      </c>
      <c r="Q12" s="526" t="s">
        <v>213</v>
      </c>
      <c r="R12" s="474" t="s">
        <v>442</v>
      </c>
      <c r="S12" s="474" t="s">
        <v>460</v>
      </c>
      <c r="T12" s="47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86" t="s">
        <v>193</v>
      </c>
      <c r="C13" s="593" t="s">
        <v>87</v>
      </c>
      <c r="D13" s="580" t="s">
        <v>66</v>
      </c>
      <c r="E13" s="528" t="s">
        <v>87</v>
      </c>
      <c r="F13" s="529" t="s">
        <v>66</v>
      </c>
      <c r="G13" s="484" t="s">
        <v>72</v>
      </c>
      <c r="H13" s="527" t="s">
        <v>469</v>
      </c>
      <c r="I13" s="593" t="s">
        <v>470</v>
      </c>
      <c r="J13" s="586"/>
      <c r="K13" s="484"/>
      <c r="L13" s="586" t="s">
        <v>193</v>
      </c>
      <c r="M13" s="528" t="s">
        <v>74</v>
      </c>
      <c r="N13" s="527" t="s">
        <v>469</v>
      </c>
      <c r="O13" s="596" t="s">
        <v>248</v>
      </c>
      <c r="P13" s="527" t="s">
        <v>467</v>
      </c>
      <c r="Q13" s="107" t="s">
        <v>39</v>
      </c>
      <c r="R13" s="472" t="s">
        <v>326</v>
      </c>
      <c r="S13" s="595" t="s">
        <v>319</v>
      </c>
      <c r="T13" s="55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12.5" customHeight="1">
      <c r="A14" s="96"/>
      <c r="B14" s="530"/>
      <c r="C14" s="528"/>
      <c r="D14" s="529"/>
      <c r="E14" s="20"/>
      <c r="F14" s="594" t="s">
        <v>467</v>
      </c>
      <c r="G14" s="177" t="s">
        <v>36</v>
      </c>
      <c r="H14" s="532"/>
      <c r="I14" s="528"/>
      <c r="J14" s="529"/>
      <c r="K14" s="484"/>
      <c r="L14" s="527"/>
      <c r="M14" s="589"/>
      <c r="N14" s="586" t="s">
        <v>193</v>
      </c>
      <c r="O14" s="596" t="s">
        <v>78</v>
      </c>
      <c r="P14" s="586" t="s">
        <v>193</v>
      </c>
      <c r="Q14" s="484" t="s">
        <v>470</v>
      </c>
      <c r="R14" s="472" t="s">
        <v>331</v>
      </c>
      <c r="S14" s="474" t="s">
        <v>356</v>
      </c>
      <c r="T14" s="55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14" customHeight="1">
      <c r="A15" s="40"/>
      <c r="B15" s="535"/>
      <c r="C15" s="537"/>
      <c r="D15" s="538"/>
      <c r="E15" s="528"/>
      <c r="F15" s="530"/>
      <c r="G15" s="528"/>
      <c r="H15" s="539"/>
      <c r="I15" s="537"/>
      <c r="J15" s="46"/>
      <c r="L15" s="506"/>
      <c r="M15" s="590"/>
      <c r="N15" s="586"/>
      <c r="O15" s="593"/>
      <c r="P15" s="506"/>
      <c r="Q15" s="524"/>
      <c r="R15" s="472" t="s">
        <v>321</v>
      </c>
      <c r="S15" s="474" t="s">
        <v>466</v>
      </c>
      <c r="T15" s="55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71"/>
      <c r="C16" s="485"/>
      <c r="D16" s="572"/>
      <c r="E16" s="573"/>
      <c r="F16" s="571"/>
      <c r="G16" s="485"/>
      <c r="H16" s="574"/>
      <c r="I16" s="485"/>
      <c r="J16" s="525"/>
      <c r="K16" s="575"/>
      <c r="L16" s="576"/>
      <c r="M16" s="575"/>
      <c r="N16" s="571"/>
      <c r="O16" s="591"/>
      <c r="P16" s="571"/>
      <c r="Q16" s="540"/>
      <c r="R16" s="471" t="s">
        <v>445</v>
      </c>
      <c r="S16" s="476" t="s">
        <v>357</v>
      </c>
      <c r="T16" s="55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532"/>
      <c r="C17" s="541"/>
      <c r="D17" s="577" t="s">
        <v>413</v>
      </c>
      <c r="E17" s="543" t="s">
        <v>74</v>
      </c>
      <c r="F17" s="542" t="s">
        <v>249</v>
      </c>
      <c r="G17" s="544" t="s">
        <v>78</v>
      </c>
      <c r="H17" s="545"/>
      <c r="I17" s="546"/>
      <c r="J17" s="482"/>
      <c r="K17" s="484"/>
      <c r="L17" s="592" t="s">
        <v>462</v>
      </c>
      <c r="M17" s="546" t="s">
        <v>87</v>
      </c>
      <c r="N17" s="545"/>
      <c r="O17" s="546"/>
      <c r="P17" s="547" t="s">
        <v>54</v>
      </c>
      <c r="Q17" s="548">
        <v>0.4</v>
      </c>
      <c r="R17" s="678" t="s">
        <v>437</v>
      </c>
      <c r="S17" s="679"/>
      <c r="T17" s="680"/>
      <c r="U17" s="681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549">
        <f>B51</f>
        <v>1.2423664122137401</v>
      </c>
      <c r="C18" s="550"/>
      <c r="D18" s="549">
        <f>D51</f>
        <v>1.3804071246819336</v>
      </c>
      <c r="E18" s="551"/>
      <c r="F18" s="549">
        <f>F51</f>
        <v>1.6564885496183204</v>
      </c>
      <c r="G18" s="550"/>
      <c r="H18" s="549">
        <f>H51</f>
        <v>1.3804071246819336</v>
      </c>
      <c r="I18" s="550"/>
      <c r="J18" s="552">
        <f>J51</f>
        <v>1.1043256997455468</v>
      </c>
      <c r="K18" s="550"/>
      <c r="L18" s="552">
        <f>L51</f>
        <v>1.1595419847328243</v>
      </c>
      <c r="M18" s="550"/>
      <c r="N18" s="549">
        <f>N51</f>
        <v>1.6564885496183204</v>
      </c>
      <c r="O18" s="551"/>
      <c r="P18" s="553">
        <f>P51</f>
        <v>1.2699745547073789</v>
      </c>
      <c r="Q18" s="551">
        <f>P18+Q17</f>
        <v>1.669974554707379</v>
      </c>
      <c r="R18" s="682"/>
      <c r="S18" s="683"/>
      <c r="T18" s="683"/>
      <c r="U18" s="684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65"/>
      <c r="C19" s="566"/>
      <c r="D19" s="565"/>
      <c r="E19" s="566"/>
      <c r="F19" s="565" t="s">
        <v>471</v>
      </c>
      <c r="G19" s="560" t="s">
        <v>472</v>
      </c>
      <c r="H19" s="565" t="s">
        <v>478</v>
      </c>
      <c r="I19" s="566" t="s">
        <v>479</v>
      </c>
      <c r="J19" s="565"/>
      <c r="K19" s="566"/>
      <c r="L19" s="561"/>
      <c r="M19" s="562"/>
      <c r="N19" s="565" t="s">
        <v>478</v>
      </c>
      <c r="O19" s="566" t="s">
        <v>480</v>
      </c>
      <c r="P19" s="565" t="s">
        <v>473</v>
      </c>
      <c r="Q19" s="566" t="s">
        <v>474</v>
      </c>
      <c r="R19" s="685" t="s">
        <v>90</v>
      </c>
      <c r="S19" s="686"/>
      <c r="T19" s="686"/>
      <c r="U19" s="687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59"/>
      <c r="C20" s="559"/>
      <c r="D20" s="558"/>
      <c r="E20" s="559"/>
      <c r="F20" s="564"/>
      <c r="G20" s="562"/>
      <c r="H20" s="564"/>
      <c r="I20" s="559"/>
      <c r="J20" s="558"/>
      <c r="K20" s="559"/>
      <c r="L20" s="558"/>
      <c r="M20" s="559"/>
      <c r="N20" s="558" t="s">
        <v>475</v>
      </c>
      <c r="O20" s="559" t="s">
        <v>477</v>
      </c>
      <c r="P20" s="558" t="s">
        <v>475</v>
      </c>
      <c r="Q20" s="559" t="s">
        <v>476</v>
      </c>
      <c r="R20" s="163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159"/>
      <c r="I21" s="107"/>
      <c r="J21" s="565"/>
      <c r="K21" s="562"/>
      <c r="L21" s="56"/>
      <c r="M21" s="107"/>
      <c r="N21" s="24" t="s">
        <v>419</v>
      </c>
      <c r="O21" s="107" t="s">
        <v>481</v>
      </c>
      <c r="P21" s="24"/>
      <c r="Q21" s="20"/>
      <c r="R21" s="168"/>
      <c r="S21" s="691" t="s">
        <v>93</v>
      </c>
      <c r="T21" s="691"/>
      <c r="U21" s="692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0">
      <c r="A22" s="19"/>
      <c r="D22" s="46"/>
      <c r="F22" s="170"/>
      <c r="G22" s="171"/>
      <c r="H22" s="24"/>
      <c r="I22" s="172"/>
      <c r="J22" s="46"/>
      <c r="L22" s="173" t="s">
        <v>117</v>
      </c>
      <c r="M22" s="172"/>
      <c r="N22" s="174"/>
      <c r="O22" s="175"/>
      <c r="P22" s="176"/>
      <c r="Q22" s="177"/>
      <c r="R22" s="693"/>
      <c r="S22" s="694"/>
      <c r="T22" s="694"/>
      <c r="U22" s="695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96"/>
      <c r="S23" s="697"/>
      <c r="T23" s="697"/>
      <c r="U23" s="698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-14.427480916030547</v>
      </c>
      <c r="C30" s="218"/>
      <c r="D30" s="219">
        <f>D44</f>
        <v>-6.6972010178117216</v>
      </c>
      <c r="E30" s="220"/>
      <c r="F30" s="221">
        <f>F44</f>
        <v>6.7633587786259426</v>
      </c>
      <c r="G30" s="221"/>
      <c r="H30" s="217">
        <f>H44</f>
        <v>2.3027989821882784</v>
      </c>
      <c r="I30" s="218"/>
      <c r="J30" s="217">
        <f>J44</f>
        <v>-5.1577608142493716</v>
      </c>
      <c r="K30" s="222"/>
      <c r="L30" s="217">
        <f>L44</f>
        <v>-6.4656488549618345</v>
      </c>
      <c r="M30" s="222"/>
      <c r="N30" s="217">
        <f>N44</f>
        <v>15.763358778625943</v>
      </c>
      <c r="O30" s="222"/>
      <c r="P30" s="152">
        <f>P44</f>
        <v>7.9185750636132184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24" t="s">
        <v>196</v>
      </c>
      <c r="C31" s="445" t="s">
        <v>99</v>
      </c>
      <c r="D31" s="441" t="s">
        <v>23</v>
      </c>
      <c r="E31" s="445" t="s">
        <v>401</v>
      </c>
      <c r="F31" s="419"/>
      <c r="G31" s="464"/>
      <c r="H31" s="486" t="s">
        <v>47</v>
      </c>
      <c r="I31" s="464" t="s">
        <v>242</v>
      </c>
      <c r="J31" s="24"/>
      <c r="K31" s="445"/>
      <c r="L31" s="456" t="s">
        <v>27</v>
      </c>
      <c r="M31" s="464" t="s">
        <v>99</v>
      </c>
      <c r="N31" s="457" t="s">
        <v>15</v>
      </c>
      <c r="O31" s="445" t="s">
        <v>438</v>
      </c>
      <c r="P31" s="24"/>
      <c r="Q31" s="448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24" t="s">
        <v>457</v>
      </c>
      <c r="C32" s="107"/>
      <c r="D32" s="24"/>
      <c r="E32" s="229"/>
      <c r="F32" s="457"/>
      <c r="G32" s="229"/>
      <c r="H32" s="24"/>
      <c r="I32" s="445"/>
      <c r="J32" s="24"/>
      <c r="K32" s="229"/>
      <c r="L32" s="441" t="s">
        <v>315</v>
      </c>
      <c r="M32" s="229" t="s">
        <v>458</v>
      </c>
      <c r="N32" s="46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241"/>
      <c r="C33" s="107"/>
      <c r="D33" s="242"/>
      <c r="E33" s="480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197</v>
      </c>
      <c r="T33" s="232" t="s">
        <v>109</v>
      </c>
      <c r="U33" s="247" t="s">
        <v>110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669"/>
      <c r="W40" s="670"/>
      <c r="X40" s="670"/>
      <c r="Y40" s="671"/>
      <c r="Z40" s="302"/>
      <c r="AA40" s="303"/>
    </row>
    <row r="41" spans="1:33" ht="73" thickBot="1">
      <c r="A41" s="304" t="s">
        <v>136</v>
      </c>
      <c r="B41" s="305">
        <f>SUM(B43:T43)</f>
        <v>19.650000000000002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672"/>
      <c r="W41" s="673"/>
      <c r="X41" s="673"/>
      <c r="Y41" s="674"/>
      <c r="Z41" s="302"/>
      <c r="AA41" s="303"/>
    </row>
    <row r="42" spans="1:33" ht="72">
      <c r="A42" s="304" t="s">
        <v>137</v>
      </c>
      <c r="B42" s="294">
        <f>B40/B41</f>
        <v>26.921119592875314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2.25</v>
      </c>
      <c r="C43" s="295"/>
      <c r="D43" s="296">
        <f>E9</f>
        <v>2.5</v>
      </c>
      <c r="E43" s="297"/>
      <c r="F43" s="296">
        <f>G9</f>
        <v>3</v>
      </c>
      <c r="G43" s="297"/>
      <c r="H43" s="278">
        <f>I9</f>
        <v>2.5</v>
      </c>
      <c r="I43" s="299"/>
      <c r="J43" s="278">
        <f>K9</f>
        <v>2</v>
      </c>
      <c r="K43" s="299"/>
      <c r="L43" s="278">
        <f>M9</f>
        <v>2.1</v>
      </c>
      <c r="M43" s="299"/>
      <c r="N43" s="278">
        <f>O9</f>
        <v>3</v>
      </c>
      <c r="O43" s="299"/>
      <c r="P43" s="311">
        <f>Q9</f>
        <v>2.2999999999999998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-14.427480916030547</v>
      </c>
      <c r="C44" s="295"/>
      <c r="D44" s="318">
        <f>B40/B41*D43-D45</f>
        <v>-6.6972010178117216</v>
      </c>
      <c r="E44" s="319"/>
      <c r="F44" s="318">
        <f>B40/B41*F43-F45</f>
        <v>6.7633587786259426</v>
      </c>
      <c r="G44" s="320"/>
      <c r="H44" s="321">
        <f>B40/B41*H43-H45</f>
        <v>2.3027989821882784</v>
      </c>
      <c r="I44" s="322"/>
      <c r="J44" s="321">
        <f>B40/B41*J43-J45</f>
        <v>-5.1577608142493716</v>
      </c>
      <c r="K44" s="322"/>
      <c r="L44" s="321">
        <f>B40/B41*L43-L45</f>
        <v>-6.4656488549618345</v>
      </c>
      <c r="M44" s="322"/>
      <c r="N44" s="321">
        <f>B40/B41*N43-N45</f>
        <v>15.763358778625943</v>
      </c>
      <c r="O44" s="322"/>
      <c r="P44" s="311">
        <f>B40/B41*P43-P45</f>
        <v>7.9185750636132184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313</v>
      </c>
      <c r="K46" s="348">
        <v>59</v>
      </c>
      <c r="L46" s="349" t="s">
        <v>312</v>
      </c>
      <c r="M46" s="348">
        <v>63</v>
      </c>
      <c r="N46" s="349" t="s">
        <v>311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10.85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48.755760368663594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60.572519083969453</v>
      </c>
      <c r="C50" s="354"/>
      <c r="D50" s="354">
        <f>B42*D43</f>
        <v>67.302798982188278</v>
      </c>
      <c r="E50" s="354"/>
      <c r="F50" s="354">
        <f>B42*F43</f>
        <v>80.763358778625943</v>
      </c>
      <c r="G50" s="354"/>
      <c r="H50" s="359">
        <f>B42*H43</f>
        <v>67.302798982188278</v>
      </c>
      <c r="I50" s="354"/>
      <c r="J50" s="354">
        <f>B42*J43</f>
        <v>53.842239185750628</v>
      </c>
      <c r="K50" s="354"/>
      <c r="L50" s="354">
        <f>B42*L43</f>
        <v>56.534351145038165</v>
      </c>
      <c r="M50" s="354"/>
      <c r="N50" s="359">
        <f>B42*N43</f>
        <v>80.763358778625943</v>
      </c>
      <c r="O50" s="354"/>
      <c r="P50" s="354">
        <f>B42*P43</f>
        <v>61.918575063613218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1.2423664122137401</v>
      </c>
      <c r="C51" s="354"/>
      <c r="D51" s="354">
        <f>D50/B49</f>
        <v>1.3804071246819336</v>
      </c>
      <c r="E51" s="354"/>
      <c r="F51" s="354">
        <f>F50/B49</f>
        <v>1.6564885496183204</v>
      </c>
      <c r="G51" s="354"/>
      <c r="H51" s="354">
        <f>H50/B49</f>
        <v>1.3804071246819336</v>
      </c>
      <c r="I51" s="354"/>
      <c r="J51" s="354">
        <f>J50/B49</f>
        <v>1.1043256997455468</v>
      </c>
      <c r="K51" s="354"/>
      <c r="L51" s="354">
        <f>L50/B49</f>
        <v>1.1595419847328243</v>
      </c>
      <c r="M51" s="354"/>
      <c r="N51" s="359">
        <f>N50/B49</f>
        <v>1.6564885496183204</v>
      </c>
      <c r="O51" s="354"/>
      <c r="P51" s="354">
        <f>P50/B49</f>
        <v>1.2699745547073789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324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325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0.5</v>
      </c>
      <c r="D69" s="376" t="s">
        <v>178</v>
      </c>
      <c r="E69" s="376">
        <v>0.25</v>
      </c>
      <c r="F69" s="376">
        <f>Q17</f>
        <v>0.4</v>
      </c>
      <c r="G69" s="380">
        <v>2</v>
      </c>
      <c r="H69" s="376">
        <v>0</v>
      </c>
      <c r="I69" s="377">
        <v>0</v>
      </c>
      <c r="J69" s="376">
        <f>SUM(C69:H69)</f>
        <v>3.15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J105"/>
  <sheetViews>
    <sheetView zoomScale="30" zoomScaleNormal="30" workbookViewId="0">
      <selection activeCell="L13" sqref="L13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45973</v>
      </c>
      <c r="E1" s="3" t="str">
        <f>TEXT(D1, "dddd")</f>
        <v>Wednesday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84" t="s">
        <v>13</v>
      </c>
      <c r="C3" s="485" t="s">
        <v>39</v>
      </c>
      <c r="D3" s="482" t="s">
        <v>12</v>
      </c>
      <c r="E3" s="568"/>
      <c r="F3" s="484" t="s">
        <v>198</v>
      </c>
      <c r="G3" s="485"/>
      <c r="H3" s="482" t="s">
        <v>37</v>
      </c>
      <c r="I3" s="485"/>
      <c r="J3" s="482" t="s">
        <v>297</v>
      </c>
      <c r="K3" s="485"/>
      <c r="L3" s="482" t="s">
        <v>301</v>
      </c>
      <c r="M3" s="485"/>
      <c r="N3" s="482" t="s">
        <v>15</v>
      </c>
      <c r="O3" s="485"/>
      <c r="P3" s="486" t="s">
        <v>402</v>
      </c>
      <c r="Q3" s="483"/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82" t="s">
        <v>33</v>
      </c>
      <c r="C4" s="485"/>
      <c r="D4" s="482" t="s">
        <v>25</v>
      </c>
      <c r="E4" s="485"/>
      <c r="F4" s="482" t="s">
        <v>299</v>
      </c>
      <c r="G4" s="485"/>
      <c r="H4" s="482" t="s">
        <v>308</v>
      </c>
      <c r="I4" s="485"/>
      <c r="J4" s="482" t="s">
        <v>463</v>
      </c>
      <c r="K4" s="488"/>
      <c r="L4" s="482" t="s">
        <v>298</v>
      </c>
      <c r="M4" s="485" t="s">
        <v>39</v>
      </c>
      <c r="N4" s="482" t="s">
        <v>38</v>
      </c>
      <c r="O4" s="485" t="s">
        <v>36</v>
      </c>
      <c r="P4" s="482" t="s">
        <v>28</v>
      </c>
      <c r="Q4" s="485"/>
      <c r="R4" s="33" t="s">
        <v>305</v>
      </c>
      <c r="S4" s="34"/>
      <c r="T4" s="34" t="s">
        <v>304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.75" customHeight="1">
      <c r="A5" s="40"/>
      <c r="B5" s="482" t="s">
        <v>22</v>
      </c>
      <c r="C5" s="483"/>
      <c r="D5" s="482" t="s">
        <v>34</v>
      </c>
      <c r="E5" s="483"/>
      <c r="F5" s="482" t="s">
        <v>300</v>
      </c>
      <c r="G5" s="485"/>
      <c r="H5" s="482" t="s">
        <v>277</v>
      </c>
      <c r="I5" s="485" t="s">
        <v>485</v>
      </c>
      <c r="J5" s="482" t="s">
        <v>14</v>
      </c>
      <c r="K5" s="485" t="s">
        <v>36</v>
      </c>
      <c r="L5" s="489" t="s">
        <v>315</v>
      </c>
      <c r="M5" s="485"/>
      <c r="N5" s="482" t="s">
        <v>302</v>
      </c>
      <c r="O5" s="485"/>
      <c r="P5" s="482" t="s">
        <v>50</v>
      </c>
      <c r="Q5" s="484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82"/>
      <c r="C6" s="484"/>
      <c r="D6" s="482"/>
      <c r="E6" s="485"/>
      <c r="F6" s="482"/>
      <c r="G6" s="485"/>
      <c r="H6" s="482"/>
      <c r="I6" s="484"/>
      <c r="J6" s="482"/>
      <c r="K6" s="485"/>
      <c r="L6" s="482"/>
      <c r="M6" s="483"/>
      <c r="N6" s="482"/>
      <c r="O6" s="484"/>
      <c r="P6" s="482"/>
      <c r="Q6" s="485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82"/>
      <c r="C7" s="485"/>
      <c r="D7" s="482"/>
      <c r="E7" s="485"/>
      <c r="F7" s="482"/>
      <c r="G7" s="487"/>
      <c r="H7" s="482"/>
      <c r="I7" s="485"/>
      <c r="J7" s="482"/>
      <c r="K7" s="483"/>
      <c r="L7" s="490"/>
      <c r="M7" s="483"/>
      <c r="N7" s="482"/>
      <c r="O7" s="485"/>
      <c r="P7" s="491"/>
      <c r="Q7" s="487"/>
      <c r="R7" s="20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92"/>
      <c r="C8" s="493"/>
      <c r="D8" s="492"/>
      <c r="E8" s="485"/>
      <c r="F8" s="482"/>
      <c r="G8" s="484"/>
      <c r="H8" s="482"/>
      <c r="I8" s="484"/>
      <c r="J8" s="492"/>
      <c r="K8" s="494" t="s">
        <v>45</v>
      </c>
      <c r="L8" s="495"/>
      <c r="M8" s="494"/>
      <c r="N8" s="482"/>
      <c r="O8" s="485"/>
      <c r="P8" s="492"/>
      <c r="Q8" s="496"/>
      <c r="R8" s="403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97"/>
      <c r="C9" s="498">
        <v>2.5</v>
      </c>
      <c r="D9" s="499"/>
      <c r="E9" s="498">
        <v>3</v>
      </c>
      <c r="F9" s="499"/>
      <c r="G9" s="498">
        <v>3</v>
      </c>
      <c r="H9" s="500">
        <v>2.2999999999999998</v>
      </c>
      <c r="I9" s="498">
        <f>H9-I11</f>
        <v>2.2999999999999998</v>
      </c>
      <c r="J9" s="499"/>
      <c r="K9" s="498">
        <v>2.5</v>
      </c>
      <c r="L9" s="499">
        <v>2.5</v>
      </c>
      <c r="M9" s="498">
        <f>L9-M11</f>
        <v>2.5</v>
      </c>
      <c r="N9" s="501">
        <v>2.5</v>
      </c>
      <c r="O9" s="498">
        <f>N9-O11</f>
        <v>2.5</v>
      </c>
      <c r="P9" s="492">
        <v>3</v>
      </c>
      <c r="Q9" s="502">
        <f>P9-Q11</f>
        <v>2.2999999999999998</v>
      </c>
      <c r="R9" s="40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503"/>
      <c r="C10" s="504"/>
      <c r="D10" s="501"/>
      <c r="E10" s="505"/>
      <c r="F10" s="506"/>
      <c r="G10" s="507"/>
      <c r="H10" s="508"/>
      <c r="I10" s="505"/>
      <c r="J10" s="503"/>
      <c r="K10" s="509"/>
      <c r="L10" s="510"/>
      <c r="M10" s="509"/>
      <c r="N10" s="482"/>
      <c r="O10" s="484"/>
      <c r="P10" s="492"/>
      <c r="Q10" s="487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511"/>
      <c r="C11" s="512"/>
      <c r="D11" s="513"/>
      <c r="E11" s="514"/>
      <c r="F11" s="515"/>
      <c r="G11" s="512"/>
      <c r="H11" s="516" t="s">
        <v>53</v>
      </c>
      <c r="I11" s="517">
        <v>0</v>
      </c>
      <c r="J11" s="515"/>
      <c r="K11" s="518"/>
      <c r="L11" s="516" t="s">
        <v>53</v>
      </c>
      <c r="M11" s="518">
        <v>0</v>
      </c>
      <c r="N11" s="516" t="s">
        <v>53</v>
      </c>
      <c r="O11" s="517">
        <v>0</v>
      </c>
      <c r="P11" s="515" t="s">
        <v>54</v>
      </c>
      <c r="Q11" s="519">
        <v>0.7</v>
      </c>
      <c r="R11" s="92" t="s">
        <v>447</v>
      </c>
      <c r="S11" s="474" t="s">
        <v>742</v>
      </c>
      <c r="T11" s="481" t="s">
        <v>322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523" t="s">
        <v>447</v>
      </c>
      <c r="C12" s="521" t="s">
        <v>213</v>
      </c>
      <c r="D12" s="660" t="s">
        <v>461</v>
      </c>
      <c r="E12" s="659" t="s">
        <v>213</v>
      </c>
      <c r="F12" s="523" t="s">
        <v>327</v>
      </c>
      <c r="G12" s="524" t="s">
        <v>213</v>
      </c>
      <c r="H12" s="527" t="s">
        <v>459</v>
      </c>
      <c r="I12" s="521" t="s">
        <v>213</v>
      </c>
      <c r="J12" s="527" t="s">
        <v>236</v>
      </c>
      <c r="K12" s="524" t="s">
        <v>213</v>
      </c>
      <c r="L12" s="525" t="s">
        <v>219</v>
      </c>
      <c r="M12" s="524" t="s">
        <v>213</v>
      </c>
      <c r="N12" s="522" t="s">
        <v>64</v>
      </c>
      <c r="O12" s="524" t="s">
        <v>213</v>
      </c>
      <c r="P12" s="569" t="s">
        <v>445</v>
      </c>
      <c r="Q12" s="526" t="s">
        <v>213</v>
      </c>
      <c r="R12" s="474" t="s">
        <v>442</v>
      </c>
      <c r="S12" s="474" t="s">
        <v>483</v>
      </c>
      <c r="T12" s="47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27" t="s">
        <v>467</v>
      </c>
      <c r="C13" s="528" t="s">
        <v>74</v>
      </c>
      <c r="D13" s="580" t="s">
        <v>67</v>
      </c>
      <c r="E13" s="528" t="s">
        <v>191</v>
      </c>
      <c r="F13" s="529" t="s">
        <v>746</v>
      </c>
      <c r="G13" s="484" t="s">
        <v>72</v>
      </c>
      <c r="H13" s="530" t="s">
        <v>748</v>
      </c>
      <c r="I13" s="593" t="s">
        <v>74</v>
      </c>
      <c r="J13" s="586" t="s">
        <v>73</v>
      </c>
      <c r="K13" s="484" t="s">
        <v>72</v>
      </c>
      <c r="L13" s="527" t="s">
        <v>428</v>
      </c>
      <c r="M13" s="528" t="s">
        <v>74</v>
      </c>
      <c r="N13" s="586" t="s">
        <v>382</v>
      </c>
      <c r="O13" s="528" t="s">
        <v>78</v>
      </c>
      <c r="P13" s="586" t="s">
        <v>193</v>
      </c>
      <c r="Q13" s="107" t="s">
        <v>203</v>
      </c>
      <c r="R13" s="472" t="s">
        <v>326</v>
      </c>
      <c r="S13" s="474" t="s">
        <v>319</v>
      </c>
      <c r="T13" s="55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12.5" customHeight="1">
      <c r="A14" s="96"/>
      <c r="B14" s="530" t="s">
        <v>747</v>
      </c>
      <c r="C14" s="528" t="s">
        <v>78</v>
      </c>
      <c r="D14" s="529"/>
      <c r="E14" s="20"/>
      <c r="F14" s="587" t="s">
        <v>487</v>
      </c>
      <c r="G14" s="177" t="s">
        <v>194</v>
      </c>
      <c r="H14" s="532"/>
      <c r="I14" s="528"/>
      <c r="J14" s="529"/>
      <c r="K14" s="484"/>
      <c r="L14" s="527"/>
      <c r="M14" s="589"/>
      <c r="N14" s="529"/>
      <c r="O14" s="593"/>
      <c r="P14" s="529"/>
      <c r="Q14" s="484"/>
      <c r="R14" s="472" t="s">
        <v>331</v>
      </c>
      <c r="S14" s="474" t="s">
        <v>356</v>
      </c>
      <c r="T14" s="55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14" customHeight="1">
      <c r="A15" s="40"/>
      <c r="B15" s="535"/>
      <c r="C15" s="537"/>
      <c r="D15" s="538"/>
      <c r="E15" s="528"/>
      <c r="F15" s="530"/>
      <c r="G15" s="528"/>
      <c r="H15" s="539"/>
      <c r="I15" s="537"/>
      <c r="J15" s="46"/>
      <c r="L15" s="506"/>
      <c r="M15" s="590"/>
      <c r="N15" s="535"/>
      <c r="O15" s="590"/>
      <c r="P15" s="506"/>
      <c r="Q15" s="524"/>
      <c r="R15" s="472" t="s">
        <v>321</v>
      </c>
      <c r="S15" s="474" t="s">
        <v>484</v>
      </c>
      <c r="T15" s="55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71"/>
      <c r="C16" s="485"/>
      <c r="D16" s="572"/>
      <c r="E16" s="573"/>
      <c r="F16" s="571"/>
      <c r="G16" s="485"/>
      <c r="H16" s="574"/>
      <c r="I16" s="485"/>
      <c r="J16" s="525"/>
      <c r="K16" s="575"/>
      <c r="L16" s="576"/>
      <c r="M16" s="575"/>
      <c r="N16" s="571"/>
      <c r="O16" s="591"/>
      <c r="P16" s="571"/>
      <c r="Q16" s="540"/>
      <c r="R16" s="471" t="s">
        <v>445</v>
      </c>
      <c r="S16" s="476" t="s">
        <v>357</v>
      </c>
      <c r="T16" s="55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s="130" customFormat="1" ht="108.75" customHeight="1">
      <c r="A17" s="124"/>
      <c r="B17" s="571"/>
      <c r="C17" s="485"/>
      <c r="D17" s="572"/>
      <c r="E17" s="573"/>
      <c r="F17" s="571"/>
      <c r="G17" s="485"/>
      <c r="H17" s="574"/>
      <c r="I17" s="485"/>
      <c r="J17" s="525"/>
      <c r="K17" s="575"/>
      <c r="L17" s="576"/>
      <c r="M17" s="575"/>
      <c r="N17" s="571"/>
      <c r="O17" s="591"/>
      <c r="P17" s="571"/>
      <c r="Q17" s="540"/>
      <c r="R17" s="471"/>
      <c r="S17" s="474"/>
      <c r="T17" s="55"/>
      <c r="U17" s="400"/>
      <c r="V17" s="132"/>
      <c r="W17" s="133"/>
      <c r="X17" s="134"/>
      <c r="Y17" s="134"/>
      <c r="AA17" s="135"/>
      <c r="AB17" s="8"/>
      <c r="AC17" s="136"/>
      <c r="AD17" s="8"/>
      <c r="AE17" s="136"/>
    </row>
    <row r="18" spans="1:62" s="130" customFormat="1" ht="108.75" customHeight="1">
      <c r="A18" s="124"/>
      <c r="B18" s="571"/>
      <c r="C18" s="485"/>
      <c r="D18" s="572"/>
      <c r="E18" s="573"/>
      <c r="F18" s="571"/>
      <c r="G18" s="485"/>
      <c r="H18" s="574"/>
      <c r="I18" s="485"/>
      <c r="J18" s="525"/>
      <c r="K18" s="575"/>
      <c r="L18" s="576"/>
      <c r="M18" s="575"/>
      <c r="N18" s="571"/>
      <c r="O18" s="591"/>
      <c r="P18" s="571"/>
      <c r="Q18" s="540"/>
      <c r="R18" s="471"/>
      <c r="S18" s="474"/>
      <c r="T18" s="55"/>
      <c r="U18" s="400"/>
      <c r="V18" s="132"/>
      <c r="W18" s="133"/>
      <c r="X18" s="134"/>
      <c r="Y18" s="134"/>
      <c r="AA18" s="135"/>
      <c r="AB18" s="8"/>
      <c r="AC18" s="136"/>
      <c r="AD18" s="8"/>
      <c r="AE18" s="136"/>
    </row>
    <row r="19" spans="1:62" s="130" customFormat="1" ht="108.75" customHeight="1">
      <c r="A19" s="124"/>
      <c r="B19" s="586" t="s">
        <v>55</v>
      </c>
      <c r="C19" s="485" t="s">
        <v>739</v>
      </c>
      <c r="D19" s="530" t="s">
        <v>411</v>
      </c>
      <c r="E19" s="665" t="s">
        <v>744</v>
      </c>
      <c r="F19" s="529" t="s">
        <v>486</v>
      </c>
      <c r="G19" s="484" t="s">
        <v>72</v>
      </c>
      <c r="H19" s="586" t="s">
        <v>382</v>
      </c>
      <c r="I19" s="484" t="s">
        <v>72</v>
      </c>
      <c r="J19" s="527" t="s">
        <v>189</v>
      </c>
      <c r="K19" s="484" t="s">
        <v>745</v>
      </c>
      <c r="L19" s="527" t="s">
        <v>189</v>
      </c>
      <c r="M19" s="575" t="s">
        <v>744</v>
      </c>
      <c r="N19" s="586" t="s">
        <v>382</v>
      </c>
      <c r="O19" s="528" t="s">
        <v>78</v>
      </c>
      <c r="P19" s="586" t="s">
        <v>55</v>
      </c>
      <c r="Q19" s="107" t="s">
        <v>203</v>
      </c>
      <c r="R19" s="471"/>
      <c r="S19" s="474"/>
      <c r="T19" s="55"/>
      <c r="U19" s="400"/>
      <c r="V19" s="132"/>
      <c r="W19" s="133"/>
      <c r="X19" s="134"/>
      <c r="Y19" s="134"/>
      <c r="AA19" s="135"/>
      <c r="AB19" s="8"/>
      <c r="AC19" s="136"/>
      <c r="AD19" s="8"/>
      <c r="AE19" s="136"/>
    </row>
    <row r="20" spans="1:62" s="130" customFormat="1" ht="201" customHeight="1" thickBot="1">
      <c r="A20" s="124"/>
      <c r="B20" s="571"/>
      <c r="C20" s="485"/>
      <c r="D20" s="527" t="s">
        <v>67</v>
      </c>
      <c r="E20" s="665" t="s">
        <v>743</v>
      </c>
      <c r="F20" s="527" t="s">
        <v>67</v>
      </c>
      <c r="G20" s="430" t="s">
        <v>741</v>
      </c>
      <c r="H20" s="574"/>
      <c r="I20" s="485"/>
      <c r="J20" s="525"/>
      <c r="K20" s="575"/>
      <c r="L20" s="576"/>
      <c r="M20" s="575"/>
      <c r="N20" s="571"/>
      <c r="O20" s="591"/>
      <c r="P20" s="571"/>
      <c r="Q20" s="540"/>
      <c r="R20" s="471"/>
      <c r="S20" s="474"/>
      <c r="T20" s="55"/>
      <c r="U20" s="400"/>
      <c r="V20" s="132"/>
      <c r="W20" s="133"/>
      <c r="X20" s="134"/>
      <c r="Y20" s="134"/>
      <c r="AA20" s="135"/>
      <c r="AB20" s="8"/>
      <c r="AC20" s="136"/>
      <c r="AD20" s="8"/>
      <c r="AE20" s="136"/>
    </row>
    <row r="21" spans="1:62" ht="110" customHeight="1">
      <c r="A21" s="40"/>
      <c r="B21" s="532"/>
      <c r="C21" s="541"/>
      <c r="D21" s="577" t="s">
        <v>413</v>
      </c>
      <c r="E21" s="543" t="s">
        <v>39</v>
      </c>
      <c r="F21" s="542" t="s">
        <v>249</v>
      </c>
      <c r="G21" s="544" t="s">
        <v>78</v>
      </c>
      <c r="H21" s="545"/>
      <c r="I21" s="546"/>
      <c r="J21" s="482"/>
      <c r="K21" s="484"/>
      <c r="L21" s="592" t="s">
        <v>462</v>
      </c>
      <c r="M21" s="546" t="s">
        <v>87</v>
      </c>
      <c r="N21" s="545"/>
      <c r="O21" s="546"/>
      <c r="P21" s="547" t="s">
        <v>54</v>
      </c>
      <c r="Q21" s="548">
        <v>0.4</v>
      </c>
      <c r="R21" s="678" t="s">
        <v>437</v>
      </c>
      <c r="S21" s="679"/>
      <c r="T21" s="680"/>
      <c r="U21" s="681"/>
      <c r="V21" s="143" t="s">
        <v>88</v>
      </c>
      <c r="W21" s="123"/>
      <c r="X21" s="38"/>
      <c r="Y21" s="38"/>
      <c r="AA21" s="144"/>
      <c r="AB21" s="145"/>
      <c r="AC21" s="136"/>
      <c r="AD21" s="146"/>
      <c r="AF21" s="8"/>
      <c r="AG21" s="8"/>
    </row>
    <row r="22" spans="1:62" ht="100" customHeight="1" thickBot="1">
      <c r="A22" s="147"/>
      <c r="B22" s="549">
        <f>B55</f>
        <v>1.3774271844660193</v>
      </c>
      <c r="C22" s="550"/>
      <c r="D22" s="549">
        <f>D55</f>
        <v>1.6529126213592229</v>
      </c>
      <c r="E22" s="551"/>
      <c r="F22" s="549">
        <f>F55</f>
        <v>1.6529126213592229</v>
      </c>
      <c r="G22" s="550"/>
      <c r="H22" s="549">
        <f>H55</f>
        <v>1.2672330097087376</v>
      </c>
      <c r="I22" s="550"/>
      <c r="J22" s="552">
        <f>J55</f>
        <v>1.3774271844660193</v>
      </c>
      <c r="K22" s="550"/>
      <c r="L22" s="552">
        <f>L55</f>
        <v>1.3774271844660193</v>
      </c>
      <c r="M22" s="550"/>
      <c r="N22" s="549">
        <f>N55</f>
        <v>1.3774271844660193</v>
      </c>
      <c r="O22" s="551"/>
      <c r="P22" s="553">
        <f>P55</f>
        <v>1.2672330097087376</v>
      </c>
      <c r="Q22" s="551">
        <f>P22+Q21</f>
        <v>1.6672330097087378</v>
      </c>
      <c r="R22" s="682"/>
      <c r="S22" s="683"/>
      <c r="T22" s="683"/>
      <c r="U22" s="684"/>
      <c r="V22" s="153" t="s">
        <v>89</v>
      </c>
      <c r="W22" s="154"/>
      <c r="X22" s="94"/>
      <c r="Y22" s="94"/>
      <c r="AA22" s="155"/>
      <c r="AB22" s="156"/>
      <c r="AC22" s="157"/>
      <c r="AD22" s="146"/>
      <c r="AF22" s="8"/>
      <c r="AG22" s="8"/>
    </row>
    <row r="23" spans="1:62" ht="408.75" customHeight="1" thickTop="1">
      <c r="A23" s="51"/>
      <c r="B23" s="565"/>
      <c r="C23" s="566"/>
      <c r="D23" s="565" t="s">
        <v>490</v>
      </c>
      <c r="E23" s="566" t="s">
        <v>491</v>
      </c>
      <c r="F23" s="565" t="s">
        <v>490</v>
      </c>
      <c r="G23" s="560" t="s">
        <v>492</v>
      </c>
      <c r="H23" s="565"/>
      <c r="I23" s="566"/>
      <c r="J23" s="565" t="s">
        <v>478</v>
      </c>
      <c r="K23" s="566" t="s">
        <v>493</v>
      </c>
      <c r="L23" s="561"/>
      <c r="M23" s="562"/>
      <c r="N23" s="565"/>
      <c r="O23" s="566"/>
      <c r="P23" s="565" t="s">
        <v>419</v>
      </c>
      <c r="Q23" s="566" t="s">
        <v>494</v>
      </c>
      <c r="R23" s="685" t="s">
        <v>90</v>
      </c>
      <c r="S23" s="686"/>
      <c r="T23" s="686"/>
      <c r="U23" s="687"/>
      <c r="V23" s="161"/>
      <c r="W23" s="117"/>
      <c r="X23" s="162"/>
      <c r="Y23" s="38"/>
      <c r="AA23" s="155"/>
      <c r="AB23" s="156"/>
      <c r="AC23" s="157"/>
      <c r="AD23" s="146"/>
      <c r="AF23" s="8"/>
      <c r="AG23" s="8"/>
      <c r="BI23" s="8" t="s">
        <v>91</v>
      </c>
      <c r="BJ23" s="8" t="s">
        <v>92</v>
      </c>
    </row>
    <row r="24" spans="1:62" ht="400" customHeight="1" thickBot="1">
      <c r="A24" s="51"/>
      <c r="B24" s="559"/>
      <c r="C24" s="559"/>
      <c r="D24" s="558"/>
      <c r="E24" s="559"/>
      <c r="F24" s="564"/>
      <c r="G24" s="562"/>
      <c r="H24" s="564"/>
      <c r="I24" s="559"/>
      <c r="J24" s="558"/>
      <c r="K24" s="559"/>
      <c r="L24" s="558"/>
      <c r="M24" s="559"/>
      <c r="N24" s="558"/>
      <c r="O24" s="559"/>
      <c r="P24" s="558"/>
      <c r="Q24" s="559"/>
      <c r="R24" s="163"/>
      <c r="S24" s="164"/>
      <c r="T24" s="164"/>
      <c r="U24" s="165"/>
      <c r="V24" s="161"/>
      <c r="W24" s="117"/>
      <c r="X24" s="162"/>
      <c r="Y24" s="38"/>
      <c r="AA24" s="155"/>
      <c r="AB24" s="156"/>
      <c r="AC24" s="157"/>
      <c r="AD24" s="146"/>
      <c r="AF24" s="8"/>
      <c r="AG24" s="8"/>
    </row>
    <row r="25" spans="1:62" ht="388.5" customHeight="1" thickBot="1">
      <c r="A25" s="51"/>
      <c r="B25" s="56"/>
      <c r="C25" s="107"/>
      <c r="D25" s="56"/>
      <c r="E25" s="107"/>
      <c r="F25" s="72"/>
      <c r="G25" s="167"/>
      <c r="H25" s="159"/>
      <c r="I25" s="107"/>
      <c r="J25" s="565"/>
      <c r="K25" s="562"/>
      <c r="L25" s="56"/>
      <c r="M25" s="107"/>
      <c r="N25" s="24"/>
      <c r="O25" s="107"/>
      <c r="P25" s="24"/>
      <c r="Q25" s="20"/>
      <c r="R25" s="168"/>
      <c r="S25" s="691" t="s">
        <v>93</v>
      </c>
      <c r="T25" s="691"/>
      <c r="U25" s="692"/>
      <c r="V25" s="161"/>
      <c r="W25" s="117"/>
      <c r="X25" s="162"/>
      <c r="Y25" s="38"/>
      <c r="AA25" s="155"/>
      <c r="AB25" s="156"/>
      <c r="AC25" s="157"/>
      <c r="AD25" s="146"/>
      <c r="AF25" s="8"/>
      <c r="AG25" s="8"/>
    </row>
    <row r="26" spans="1:62" ht="60">
      <c r="A26" s="19"/>
      <c r="D26" s="46"/>
      <c r="F26" s="170"/>
      <c r="G26" s="171"/>
      <c r="H26" s="24"/>
      <c r="I26" s="172"/>
      <c r="J26" s="46"/>
      <c r="L26" s="173" t="s">
        <v>117</v>
      </c>
      <c r="M26" s="172"/>
      <c r="N26" s="174"/>
      <c r="O26" s="175"/>
      <c r="P26" s="176"/>
      <c r="Q26" s="177"/>
      <c r="R26" s="693"/>
      <c r="S26" s="694"/>
      <c r="T26" s="694"/>
      <c r="U26" s="695"/>
      <c r="V26" s="110"/>
      <c r="W26" s="178"/>
      <c r="X26" s="179"/>
      <c r="Y26" s="180"/>
      <c r="AA26" s="181" t="s">
        <v>94</v>
      </c>
      <c r="AB26" s="156" t="s">
        <v>95</v>
      </c>
      <c r="AC26" s="136"/>
      <c r="AF26" s="8"/>
      <c r="AG26" s="8"/>
    </row>
    <row r="27" spans="1:62" ht="336" customHeight="1" thickBot="1">
      <c r="A27" s="96"/>
      <c r="B27" s="56"/>
      <c r="C27" s="182"/>
      <c r="D27" s="46"/>
      <c r="F27" s="183"/>
      <c r="G27" s="182"/>
      <c r="H27" s="184"/>
      <c r="I27" s="158"/>
      <c r="J27" s="72"/>
      <c r="L27" s="159"/>
      <c r="M27" s="185"/>
      <c r="N27" s="186"/>
      <c r="O27" s="187"/>
      <c r="P27" s="159"/>
      <c r="Q27" s="177"/>
      <c r="R27" s="696"/>
      <c r="S27" s="697"/>
      <c r="T27" s="697"/>
      <c r="U27" s="698"/>
      <c r="V27" s="110"/>
      <c r="W27" s="178"/>
      <c r="X27" s="179"/>
      <c r="Y27" s="180"/>
      <c r="AA27" s="181"/>
      <c r="AB27" s="156"/>
      <c r="AC27" s="136"/>
      <c r="AF27" s="8"/>
      <c r="AG27" s="8"/>
    </row>
    <row r="28" spans="1:62" ht="190.5" customHeight="1">
      <c r="A28" s="96"/>
      <c r="B28" s="24"/>
      <c r="C28" s="158"/>
      <c r="D28" s="184"/>
      <c r="E28" s="172"/>
      <c r="F28" s="184"/>
      <c r="G28" s="158"/>
      <c r="H28" s="184"/>
      <c r="I28" s="158"/>
      <c r="J28" s="184"/>
      <c r="K28" s="20"/>
      <c r="L28" s="24"/>
      <c r="M28" s="20"/>
      <c r="N28" s="173"/>
      <c r="O28" s="172"/>
      <c r="P28" s="159"/>
      <c r="Q28" s="177"/>
      <c r="R28" s="188"/>
      <c r="S28" s="189"/>
      <c r="T28" s="190"/>
      <c r="U28" s="189"/>
      <c r="V28" s="110"/>
      <c r="W28" s="178"/>
      <c r="X28" s="179"/>
      <c r="Y28" s="180"/>
      <c r="AA28" s="191" t="s">
        <v>96</v>
      </c>
      <c r="AB28" s="192"/>
      <c r="AC28" s="136"/>
      <c r="AF28" s="8"/>
      <c r="AG28" s="8"/>
    </row>
    <row r="29" spans="1:62" ht="124.5" customHeight="1">
      <c r="A29" s="96"/>
      <c r="B29" s="184"/>
      <c r="C29" s="158"/>
      <c r="D29" s="184"/>
      <c r="E29" s="172"/>
      <c r="F29" s="184"/>
      <c r="G29" s="158"/>
      <c r="H29" s="184"/>
      <c r="I29" s="158"/>
      <c r="J29" s="184"/>
      <c r="K29" s="172"/>
      <c r="L29" s="173"/>
      <c r="M29" s="172"/>
      <c r="N29" s="173"/>
      <c r="O29" s="172"/>
      <c r="P29" s="159"/>
      <c r="Q29" s="193"/>
      <c r="R29" s="49"/>
      <c r="S29" s="49"/>
      <c r="T29" s="194"/>
      <c r="U29" s="50"/>
      <c r="V29" s="110"/>
      <c r="W29" s="178"/>
      <c r="X29" s="179"/>
      <c r="Y29" s="180"/>
      <c r="AA29" s="191"/>
      <c r="AB29" s="192"/>
      <c r="AC29" s="136"/>
      <c r="AF29" s="8"/>
      <c r="AG29" s="8"/>
    </row>
    <row r="30" spans="1:62" ht="144" customHeight="1">
      <c r="A30" s="96"/>
      <c r="B30" s="56"/>
      <c r="C30" s="182"/>
      <c r="D30" s="176"/>
      <c r="E30" s="195"/>
      <c r="F30" s="196"/>
      <c r="G30" s="107"/>
      <c r="H30" s="24"/>
      <c r="I30" s="20"/>
      <c r="J30" s="24"/>
      <c r="K30" s="20"/>
      <c r="L30" s="24"/>
      <c r="M30" s="20"/>
      <c r="N30" s="24"/>
      <c r="O30" s="20"/>
      <c r="P30" s="56"/>
      <c r="Q30" s="197"/>
      <c r="S30" s="49"/>
      <c r="T30" s="189"/>
      <c r="U30" s="49"/>
      <c r="V30" s="198"/>
      <c r="W30" s="199"/>
      <c r="X30" s="200"/>
      <c r="Y30" s="201"/>
      <c r="AA30" s="202" t="s">
        <v>97</v>
      </c>
      <c r="AB30" s="192"/>
      <c r="AC30" s="136"/>
      <c r="AF30" s="8"/>
      <c r="AG30" s="8"/>
    </row>
    <row r="31" spans="1:62" ht="48" customHeight="1">
      <c r="A31" s="96"/>
      <c r="B31" s="24"/>
      <c r="C31" s="20"/>
      <c r="D31" s="196"/>
      <c r="E31" s="20"/>
      <c r="F31" s="196"/>
      <c r="G31" s="203"/>
      <c r="H31" s="204"/>
      <c r="I31" s="20"/>
      <c r="J31" s="24"/>
      <c r="K31" s="107"/>
      <c r="L31" s="56"/>
      <c r="M31" s="107"/>
      <c r="N31" s="56"/>
      <c r="O31" s="107"/>
      <c r="P31" s="56"/>
      <c r="Q31" s="197"/>
      <c r="R31" s="205"/>
      <c r="S31" s="206"/>
      <c r="T31" s="205"/>
      <c r="U31" s="205"/>
      <c r="V31" s="198"/>
      <c r="W31" s="199"/>
      <c r="X31" s="200"/>
      <c r="Y31" s="201"/>
      <c r="AA31" s="207"/>
      <c r="AB31" s="192"/>
      <c r="AC31" s="136"/>
      <c r="AD31" s="8"/>
      <c r="AF31" s="8"/>
      <c r="AG31" s="8"/>
    </row>
    <row r="32" spans="1:62" ht="33" customHeight="1">
      <c r="A32" s="96"/>
      <c r="B32" s="208"/>
      <c r="C32" s="209"/>
      <c r="D32" s="20"/>
      <c r="E32" s="20"/>
      <c r="F32" s="24"/>
      <c r="G32" s="182"/>
      <c r="H32" s="24"/>
      <c r="I32" s="20"/>
      <c r="J32" s="24"/>
      <c r="K32" s="20"/>
      <c r="L32" s="24"/>
      <c r="M32" s="20"/>
      <c r="N32" s="24"/>
      <c r="O32" s="20"/>
      <c r="P32" s="56"/>
      <c r="Q32" s="197"/>
      <c r="R32" s="93"/>
      <c r="S32" s="93"/>
      <c r="T32" s="49"/>
      <c r="U32" s="93"/>
      <c r="V32" s="210"/>
      <c r="W32" s="199"/>
      <c r="X32" s="200"/>
      <c r="Y32" s="201"/>
      <c r="AA32" s="46"/>
      <c r="AB32" s="192"/>
      <c r="AC32" s="136"/>
      <c r="AF32" s="8"/>
      <c r="AG32" s="8"/>
    </row>
    <row r="33" spans="1:36" ht="144.75" customHeight="1">
      <c r="A33" s="96"/>
      <c r="B33" s="56"/>
      <c r="C33" s="209"/>
      <c r="D33" s="20"/>
      <c r="E33" s="20"/>
      <c r="F33" s="183"/>
      <c r="G33" s="182"/>
      <c r="H33" s="196"/>
      <c r="I33" s="20"/>
      <c r="J33" s="211"/>
      <c r="K33" s="175"/>
      <c r="L33" s="174"/>
      <c r="M33" s="175"/>
      <c r="N33" s="174"/>
      <c r="O33" s="175"/>
      <c r="P33" s="56"/>
      <c r="Q33" s="212"/>
      <c r="R33" s="194"/>
      <c r="S33" s="189"/>
      <c r="U33" s="49"/>
      <c r="V33" s="213"/>
      <c r="W33" s="199"/>
      <c r="X33" s="214"/>
      <c r="Y33" s="201"/>
      <c r="AA33" s="215"/>
      <c r="AB33" s="192"/>
      <c r="AC33" s="136"/>
      <c r="AF33" s="8"/>
      <c r="AG33" s="8"/>
    </row>
    <row r="34" spans="1:36" s="192" customFormat="1" ht="83.25" customHeight="1" thickBot="1">
      <c r="A34" s="216"/>
      <c r="B34" s="217">
        <f>B48</f>
        <v>-10.800970873786412</v>
      </c>
      <c r="C34" s="218"/>
      <c r="D34" s="219">
        <f>D48</f>
        <v>3.0388349514562947</v>
      </c>
      <c r="E34" s="220"/>
      <c r="F34" s="221">
        <f>F48</f>
        <v>3.0388349514562947</v>
      </c>
      <c r="G34" s="221"/>
      <c r="H34" s="217">
        <f>H48</f>
        <v>-5.9368932038835069</v>
      </c>
      <c r="I34" s="218"/>
      <c r="J34" s="217">
        <f>J48</f>
        <v>5.1990291262135884</v>
      </c>
      <c r="K34" s="222"/>
      <c r="L34" s="217">
        <f>L48</f>
        <v>1.1990291262135884</v>
      </c>
      <c r="M34" s="222"/>
      <c r="N34" s="217">
        <f>N48</f>
        <v>-0.80097087378641163</v>
      </c>
      <c r="O34" s="222"/>
      <c r="P34" s="152">
        <f>P48</f>
        <v>5.0631067961164931</v>
      </c>
      <c r="Q34" s="218"/>
      <c r="R34" s="223"/>
      <c r="S34" s="224"/>
      <c r="T34" s="224"/>
      <c r="U34" s="224"/>
      <c r="V34" s="225"/>
      <c r="W34" s="226"/>
      <c r="X34" s="227"/>
      <c r="Y34" s="228"/>
      <c r="AA34" s="192" t="s">
        <v>98</v>
      </c>
    </row>
    <row r="35" spans="1:36" ht="300" customHeight="1" thickTop="1">
      <c r="A35" s="19"/>
      <c r="B35" s="24" t="s">
        <v>196</v>
      </c>
      <c r="C35" s="445" t="s">
        <v>99</v>
      </c>
      <c r="D35" s="441" t="s">
        <v>23</v>
      </c>
      <c r="E35" s="445" t="s">
        <v>401</v>
      </c>
      <c r="F35" s="419"/>
      <c r="G35" s="464"/>
      <c r="H35" s="486" t="s">
        <v>47</v>
      </c>
      <c r="I35" s="464" t="s">
        <v>242</v>
      </c>
      <c r="J35" s="24"/>
      <c r="K35" s="445"/>
      <c r="L35" s="456" t="s">
        <v>27</v>
      </c>
      <c r="M35" s="464" t="s">
        <v>99</v>
      </c>
      <c r="N35" s="457" t="s">
        <v>482</v>
      </c>
      <c r="O35" s="445"/>
      <c r="P35" s="24"/>
      <c r="Q35" s="448"/>
      <c r="R35" s="231" t="s">
        <v>53</v>
      </c>
      <c r="S35" s="232" t="s">
        <v>102</v>
      </c>
      <c r="T35" s="233"/>
      <c r="U35" s="234"/>
      <c r="V35" s="110"/>
      <c r="W35" s="28"/>
      <c r="X35" s="235"/>
      <c r="Y35" s="236"/>
    </row>
    <row r="36" spans="1:36" ht="222" customHeight="1">
      <c r="A36" s="96"/>
      <c r="B36" s="24"/>
      <c r="C36" s="107"/>
      <c r="D36" s="598" t="s">
        <v>488</v>
      </c>
      <c r="E36" s="597" t="s">
        <v>489</v>
      </c>
      <c r="F36" s="457"/>
      <c r="G36" s="229"/>
      <c r="H36" s="24"/>
      <c r="I36" s="445"/>
      <c r="J36" s="24"/>
      <c r="K36" s="229"/>
      <c r="L36" s="441"/>
      <c r="M36" s="229"/>
      <c r="N36" s="46"/>
      <c r="P36" s="24"/>
      <c r="Q36" s="243"/>
      <c r="R36" s="237" t="s">
        <v>103</v>
      </c>
      <c r="S36" s="238"/>
      <c r="T36" s="239"/>
      <c r="U36" s="234"/>
      <c r="V36" s="68"/>
      <c r="W36" s="28"/>
      <c r="X36" s="201"/>
      <c r="Y36" s="201"/>
      <c r="AA36" s="240" t="s">
        <v>104</v>
      </c>
      <c r="AB36" s="240"/>
      <c r="AC36" s="240" t="s">
        <v>105</v>
      </c>
      <c r="AD36" s="240" t="s">
        <v>106</v>
      </c>
      <c r="AE36" s="8" t="s">
        <v>107</v>
      </c>
      <c r="AF36" s="192"/>
      <c r="AG36" s="192"/>
      <c r="AH36" s="192"/>
      <c r="AI36" s="192"/>
      <c r="AJ36" s="192"/>
    </row>
    <row r="37" spans="1:36" ht="168.75" customHeight="1">
      <c r="A37" s="19"/>
      <c r="B37" s="241"/>
      <c r="C37" s="107"/>
      <c r="D37" s="242"/>
      <c r="E37" s="480"/>
      <c r="F37" s="244"/>
      <c r="G37" s="241"/>
      <c r="H37" s="24"/>
      <c r="I37" s="230"/>
      <c r="J37" s="72"/>
      <c r="K37" s="20"/>
      <c r="L37" s="24"/>
      <c r="M37" s="20"/>
      <c r="N37" s="24"/>
      <c r="O37" s="229"/>
      <c r="P37" s="24"/>
      <c r="Q37" s="107"/>
      <c r="R37" s="245" t="s">
        <v>108</v>
      </c>
      <c r="S37" s="246" t="s">
        <v>197</v>
      </c>
      <c r="T37" s="232" t="s">
        <v>109</v>
      </c>
      <c r="U37" s="247" t="s">
        <v>110</v>
      </c>
      <c r="V37" s="68"/>
      <c r="W37" s="123"/>
      <c r="X37" s="201"/>
      <c r="Y37" s="201"/>
      <c r="AA37" s="9" t="s">
        <v>111</v>
      </c>
      <c r="AB37" s="9"/>
      <c r="AC37" s="9" t="s">
        <v>105</v>
      </c>
      <c r="AD37" s="9" t="s">
        <v>112</v>
      </c>
      <c r="AE37" s="9" t="s">
        <v>113</v>
      </c>
      <c r="AF37" s="8"/>
      <c r="AG37" s="8"/>
    </row>
    <row r="38" spans="1:36" ht="94.5" customHeight="1">
      <c r="A38" s="19"/>
      <c r="B38" s="248"/>
      <c r="C38" s="20"/>
      <c r="D38" s="54"/>
      <c r="E38" s="249"/>
      <c r="F38" s="56"/>
      <c r="G38" s="20"/>
      <c r="H38" s="56"/>
      <c r="I38" s="57"/>
      <c r="J38" s="250"/>
      <c r="K38" s="241"/>
      <c r="L38" s="251"/>
      <c r="M38" s="241"/>
      <c r="N38" s="24"/>
      <c r="O38" s="241"/>
      <c r="P38" s="56"/>
      <c r="Q38" s="57"/>
      <c r="R38" s="252" t="s">
        <v>114</v>
      </c>
      <c r="S38" s="253" t="s">
        <v>115</v>
      </c>
      <c r="T38" s="233" t="s">
        <v>116</v>
      </c>
      <c r="U38" s="49"/>
      <c r="V38" s="68"/>
      <c r="W38" s="123"/>
      <c r="X38" s="201"/>
      <c r="Y38" s="201" t="s">
        <v>117</v>
      </c>
      <c r="AA38" s="9" t="s">
        <v>2</v>
      </c>
      <c r="AB38" s="9"/>
      <c r="AC38" s="9" t="s">
        <v>105</v>
      </c>
      <c r="AD38" s="9" t="s">
        <v>118</v>
      </c>
      <c r="AE38" s="9" t="s">
        <v>113</v>
      </c>
      <c r="AF38" s="8"/>
      <c r="AG38" s="8"/>
    </row>
    <row r="39" spans="1:36" ht="34.5" customHeight="1">
      <c r="A39" s="254"/>
      <c r="B39" s="59"/>
      <c r="C39" s="255"/>
      <c r="D39" s="59"/>
      <c r="E39" s="20"/>
      <c r="F39" s="248"/>
      <c r="G39" s="20"/>
      <c r="H39" s="256"/>
      <c r="I39" s="255"/>
      <c r="J39" s="257"/>
      <c r="K39" s="258"/>
      <c r="L39" s="257"/>
      <c r="M39" s="258"/>
      <c r="N39" s="24"/>
      <c r="O39" s="258"/>
      <c r="P39" s="56"/>
      <c r="Q39" s="57"/>
      <c r="R39" s="259"/>
      <c r="S39" s="260"/>
      <c r="T39" s="260"/>
      <c r="U39" s="261"/>
      <c r="V39" s="68"/>
      <c r="W39" s="123"/>
      <c r="X39" s="200"/>
      <c r="Y39" s="201"/>
      <c r="AA39" s="9" t="s">
        <v>119</v>
      </c>
      <c r="AB39" s="9"/>
      <c r="AC39" s="9" t="s">
        <v>120</v>
      </c>
      <c r="AD39" s="9" t="s">
        <v>121</v>
      </c>
      <c r="AE39" s="9" t="s">
        <v>122</v>
      </c>
      <c r="AF39" s="8" t="s">
        <v>107</v>
      </c>
      <c r="AG39" s="8"/>
    </row>
    <row r="40" spans="1:36" ht="34.5" customHeight="1" thickBot="1">
      <c r="A40" s="262"/>
      <c r="B40" s="263"/>
      <c r="C40" s="264"/>
      <c r="D40" s="263"/>
      <c r="E40" s="264"/>
      <c r="F40" s="265"/>
      <c r="G40" s="265"/>
      <c r="H40" s="263"/>
      <c r="I40" s="264"/>
      <c r="J40" s="263"/>
      <c r="K40" s="265"/>
      <c r="L40" s="263"/>
      <c r="M40" s="265"/>
      <c r="N40" s="263"/>
      <c r="O40" s="265"/>
      <c r="P40" s="266"/>
      <c r="Q40" s="267"/>
      <c r="R40" s="268"/>
      <c r="S40" s="269"/>
      <c r="T40" s="269"/>
      <c r="U40" s="270"/>
      <c r="V40" s="271"/>
      <c r="W40" s="272"/>
      <c r="X40" s="228"/>
      <c r="Y40" s="228"/>
      <c r="AA40" s="9" t="s">
        <v>123</v>
      </c>
      <c r="AB40" s="9"/>
      <c r="AC40" s="9" t="s">
        <v>120</v>
      </c>
      <c r="AD40" s="9" t="s">
        <v>124</v>
      </c>
      <c r="AE40" s="9" t="s">
        <v>113</v>
      </c>
      <c r="AF40" s="8"/>
      <c r="AG40" s="8"/>
    </row>
    <row r="41" spans="1:36" ht="73.5" customHeight="1" thickTop="1">
      <c r="A41" s="273" t="s">
        <v>125</v>
      </c>
      <c r="B41" s="274" t="s">
        <v>126</v>
      </c>
      <c r="C41" s="275"/>
      <c r="D41" s="276" t="s">
        <v>127</v>
      </c>
      <c r="E41" s="200"/>
      <c r="F41" s="277"/>
      <c r="G41" s="200"/>
      <c r="H41" s="278"/>
      <c r="I41" s="200"/>
      <c r="J41" s="214"/>
      <c r="K41" s="200"/>
      <c r="L41" s="214"/>
      <c r="M41" s="200"/>
      <c r="N41" s="277"/>
      <c r="O41" s="200"/>
      <c r="P41" s="279"/>
      <c r="Q41" s="200"/>
      <c r="R41" s="280"/>
      <c r="S41" s="281"/>
      <c r="T41" s="281"/>
      <c r="U41" s="282"/>
      <c r="V41" s="274" t="s">
        <v>128</v>
      </c>
      <c r="W41" s="283"/>
      <c r="X41" s="214"/>
      <c r="Y41" s="201"/>
      <c r="AA41" s="9" t="s">
        <v>18</v>
      </c>
      <c r="AB41" s="9"/>
      <c r="AC41" s="9" t="s">
        <v>129</v>
      </c>
      <c r="AE41" s="9" t="s">
        <v>130</v>
      </c>
      <c r="AF41" s="8" t="s">
        <v>131</v>
      </c>
      <c r="AG41" s="8"/>
    </row>
    <row r="42" spans="1:36" ht="40.5" customHeight="1">
      <c r="A42" s="273"/>
      <c r="B42" s="214"/>
      <c r="C42" s="275"/>
      <c r="D42" s="200"/>
      <c r="F42" s="214"/>
      <c r="G42" s="200"/>
      <c r="H42" s="214"/>
      <c r="I42" s="200"/>
      <c r="J42" s="214"/>
      <c r="K42" s="200"/>
      <c r="L42" s="214"/>
      <c r="M42" s="200"/>
      <c r="N42" s="214"/>
      <c r="O42" s="200"/>
      <c r="P42" s="214"/>
      <c r="Q42" s="200"/>
      <c r="R42" s="214"/>
      <c r="S42" s="282"/>
      <c r="T42" s="282"/>
      <c r="U42" s="282"/>
      <c r="V42" s="274" t="s">
        <v>132</v>
      </c>
      <c r="W42" s="200"/>
      <c r="X42" s="214"/>
      <c r="Y42" s="201"/>
      <c r="AA42" s="9"/>
      <c r="AB42" s="9"/>
      <c r="AC42" s="9" t="s">
        <v>133</v>
      </c>
      <c r="AD42" s="9" t="s">
        <v>134</v>
      </c>
      <c r="AE42" s="9" t="s">
        <v>130</v>
      </c>
      <c r="AF42" s="8"/>
      <c r="AG42" s="8"/>
    </row>
    <row r="43" spans="1:36" ht="58.5" customHeight="1" thickBot="1">
      <c r="A43" s="284"/>
      <c r="B43" s="285"/>
      <c r="C43" s="286"/>
      <c r="D43" s="287"/>
      <c r="E43" s="287"/>
      <c r="F43" s="285"/>
      <c r="G43" s="287"/>
      <c r="H43" s="285"/>
      <c r="I43" s="287"/>
      <c r="J43" s="285"/>
      <c r="K43" s="287"/>
      <c r="L43" s="285"/>
      <c r="M43" s="287"/>
      <c r="N43" s="285"/>
      <c r="O43" s="287"/>
      <c r="P43" s="285"/>
      <c r="Q43" s="287"/>
      <c r="R43" s="46"/>
      <c r="T43" s="288"/>
      <c r="U43" s="288"/>
      <c r="V43" s="289"/>
      <c r="W43" s="290"/>
      <c r="X43" s="291"/>
      <c r="Y43" s="292"/>
      <c r="AA43" s="9"/>
      <c r="AB43" s="9"/>
      <c r="AF43" s="8"/>
      <c r="AG43" s="8"/>
    </row>
    <row r="44" spans="1:36" ht="31.5" customHeight="1" thickTop="1">
      <c r="A44" s="293" t="s">
        <v>135</v>
      </c>
      <c r="B44" s="294">
        <f>B49+D49+F49+H49+J49+P49+N49+L49</f>
        <v>529</v>
      </c>
      <c r="C44" s="295"/>
      <c r="D44" s="296"/>
      <c r="F44" s="296"/>
      <c r="G44" s="297"/>
      <c r="H44" s="278"/>
      <c r="I44" s="298"/>
      <c r="J44" s="278"/>
      <c r="K44" s="299"/>
      <c r="L44" s="278"/>
      <c r="M44" s="299"/>
      <c r="N44" s="278"/>
      <c r="O44" s="299"/>
      <c r="P44" s="279"/>
      <c r="Q44" s="300"/>
      <c r="R44" s="291"/>
      <c r="S44" s="288"/>
      <c r="T44" s="301"/>
      <c r="U44" s="301"/>
      <c r="V44" s="669"/>
      <c r="W44" s="670"/>
      <c r="X44" s="670"/>
      <c r="Y44" s="671"/>
      <c r="Z44" s="302"/>
      <c r="AA44" s="303"/>
    </row>
    <row r="45" spans="1:36" ht="73" thickBot="1">
      <c r="A45" s="304" t="s">
        <v>136</v>
      </c>
      <c r="B45" s="305">
        <f>SUM(B47:T47)</f>
        <v>20.6</v>
      </c>
      <c r="C45" s="295"/>
      <c r="D45" s="296"/>
      <c r="E45" s="297"/>
      <c r="F45" s="296"/>
      <c r="G45" s="297"/>
      <c r="H45" s="278"/>
      <c r="I45" s="299"/>
      <c r="J45" s="278"/>
      <c r="K45" s="299"/>
      <c r="L45" s="278"/>
      <c r="M45" s="299"/>
      <c r="N45" s="278"/>
      <c r="O45" s="299"/>
      <c r="P45" s="279"/>
      <c r="Q45" s="300"/>
      <c r="R45" s="282"/>
      <c r="S45" s="115"/>
      <c r="T45" s="301"/>
      <c r="U45" s="301"/>
      <c r="V45" s="672"/>
      <c r="W45" s="673"/>
      <c r="X45" s="673"/>
      <c r="Y45" s="674"/>
      <c r="Z45" s="302"/>
      <c r="AA45" s="303"/>
    </row>
    <row r="46" spans="1:36" ht="72">
      <c r="A46" s="304" t="s">
        <v>137</v>
      </c>
      <c r="B46" s="294">
        <f>B44/B45</f>
        <v>25.679611650485434</v>
      </c>
      <c r="C46" s="295"/>
      <c r="D46" s="296"/>
      <c r="E46" s="297"/>
      <c r="F46" s="296"/>
      <c r="G46" s="297"/>
      <c r="H46" s="278"/>
      <c r="I46" s="299"/>
      <c r="J46" s="278"/>
      <c r="K46" s="299"/>
      <c r="L46" s="278"/>
      <c r="M46" s="299"/>
      <c r="N46" s="278"/>
      <c r="O46" s="299"/>
      <c r="P46" s="279"/>
      <c r="Q46" s="300"/>
      <c r="R46" s="282"/>
      <c r="S46" s="115"/>
      <c r="T46" s="306"/>
      <c r="U46" s="306"/>
      <c r="V46" s="307"/>
      <c r="W46" s="308"/>
      <c r="X46" s="308"/>
      <c r="Y46" s="309"/>
      <c r="Z46" s="306"/>
      <c r="AA46" s="303"/>
    </row>
    <row r="47" spans="1:36" ht="72">
      <c r="A47" s="310" t="s">
        <v>138</v>
      </c>
      <c r="B47" s="305">
        <f>C9</f>
        <v>2.5</v>
      </c>
      <c r="C47" s="295"/>
      <c r="D47" s="296">
        <f>E9</f>
        <v>3</v>
      </c>
      <c r="E47" s="297"/>
      <c r="F47" s="296">
        <f>G9</f>
        <v>3</v>
      </c>
      <c r="G47" s="297"/>
      <c r="H47" s="278">
        <f>I9</f>
        <v>2.2999999999999998</v>
      </c>
      <c r="I47" s="299"/>
      <c r="J47" s="278">
        <f>K9</f>
        <v>2.5</v>
      </c>
      <c r="K47" s="299"/>
      <c r="L47" s="278">
        <f>M9</f>
        <v>2.5</v>
      </c>
      <c r="M47" s="299"/>
      <c r="N47" s="278">
        <f>O9</f>
        <v>2.5</v>
      </c>
      <c r="O47" s="299"/>
      <c r="P47" s="311">
        <f>Q9</f>
        <v>2.2999999999999998</v>
      </c>
      <c r="Q47" s="300"/>
      <c r="R47" s="312"/>
      <c r="S47" s="313"/>
      <c r="T47" s="313"/>
      <c r="U47" s="313"/>
      <c r="V47" s="314"/>
      <c r="W47" s="315"/>
      <c r="X47" s="315"/>
      <c r="Y47" s="316"/>
      <c r="Z47" s="317"/>
      <c r="AA47" s="303"/>
    </row>
    <row r="48" spans="1:36" ht="72">
      <c r="A48" s="304" t="s">
        <v>139</v>
      </c>
      <c r="B48" s="294">
        <f>B44/B45*B47-B49</f>
        <v>-10.800970873786412</v>
      </c>
      <c r="C48" s="295"/>
      <c r="D48" s="318">
        <f>B44/B45*D47-D49</f>
        <v>3.0388349514562947</v>
      </c>
      <c r="E48" s="319"/>
      <c r="F48" s="318">
        <f>B44/B45*F47-F49</f>
        <v>3.0388349514562947</v>
      </c>
      <c r="G48" s="320"/>
      <c r="H48" s="321">
        <f>B44/B45*H47-H49</f>
        <v>-5.9368932038835069</v>
      </c>
      <c r="I48" s="322"/>
      <c r="J48" s="321">
        <f>B44/B45*J47-J49</f>
        <v>5.1990291262135884</v>
      </c>
      <c r="K48" s="322"/>
      <c r="L48" s="321">
        <f>B44/B45*L47-L49</f>
        <v>1.1990291262135884</v>
      </c>
      <c r="M48" s="322"/>
      <c r="N48" s="321">
        <f>B44/B45*N47-N49</f>
        <v>-0.80097087378641163</v>
      </c>
      <c r="O48" s="322"/>
      <c r="P48" s="311">
        <f>B44/B45*P47-P49</f>
        <v>5.0631067961164931</v>
      </c>
      <c r="Q48" s="323"/>
      <c r="R48" s="324"/>
      <c r="S48" s="324"/>
      <c r="T48" s="324"/>
      <c r="U48" s="325"/>
      <c r="V48" s="326"/>
      <c r="W48" s="327"/>
      <c r="X48" s="328"/>
      <c r="Y48" s="329"/>
      <c r="Z48" s="330"/>
      <c r="AA48" s="303"/>
    </row>
    <row r="49" spans="1:29" ht="73" thickBot="1">
      <c r="A49" s="310" t="s">
        <v>140</v>
      </c>
      <c r="B49" s="294">
        <v>75</v>
      </c>
      <c r="C49" s="295"/>
      <c r="D49" s="331">
        <v>74</v>
      </c>
      <c r="E49" s="130"/>
      <c r="F49" s="318">
        <v>74</v>
      </c>
      <c r="G49" s="320"/>
      <c r="H49" s="332">
        <v>65</v>
      </c>
      <c r="J49" s="321">
        <v>59</v>
      </c>
      <c r="K49" s="322"/>
      <c r="L49" s="321">
        <v>63</v>
      </c>
      <c r="M49" s="322"/>
      <c r="N49" s="333">
        <v>65</v>
      </c>
      <c r="O49" s="322"/>
      <c r="P49" s="334">
        <v>54</v>
      </c>
      <c r="Q49" s="335"/>
      <c r="R49" s="336"/>
      <c r="S49" s="325"/>
      <c r="T49" s="336"/>
      <c r="U49" s="325"/>
      <c r="V49" s="337"/>
      <c r="W49" s="338"/>
      <c r="X49" s="339"/>
      <c r="Y49" s="340"/>
      <c r="Z49" s="330"/>
      <c r="AA49" s="303"/>
    </row>
    <row r="50" spans="1:29" ht="120.75" customHeight="1" thickBot="1">
      <c r="A50" s="341" t="s">
        <v>142</v>
      </c>
      <c r="B50" s="342" t="s">
        <v>143</v>
      </c>
      <c r="C50" s="343">
        <v>75</v>
      </c>
      <c r="D50" s="344" t="s">
        <v>144</v>
      </c>
      <c r="E50" s="345">
        <v>74</v>
      </c>
      <c r="F50" s="346" t="s">
        <v>145</v>
      </c>
      <c r="G50" s="347">
        <v>74</v>
      </c>
      <c r="H50" s="346" t="s">
        <v>146</v>
      </c>
      <c r="I50" s="347">
        <v>65</v>
      </c>
      <c r="J50" s="346" t="s">
        <v>313</v>
      </c>
      <c r="K50" s="348">
        <v>59</v>
      </c>
      <c r="L50" s="349" t="s">
        <v>312</v>
      </c>
      <c r="M50" s="348">
        <v>63</v>
      </c>
      <c r="N50" s="349" t="s">
        <v>311</v>
      </c>
      <c r="O50" s="348">
        <v>65</v>
      </c>
      <c r="P50" s="350" t="s">
        <v>151</v>
      </c>
      <c r="Q50" s="351">
        <v>54</v>
      </c>
      <c r="R50" s="325"/>
      <c r="S50" s="303"/>
      <c r="T50" s="325"/>
      <c r="U50" s="303"/>
      <c r="V50" s="352"/>
      <c r="W50" s="353"/>
      <c r="X50" s="328"/>
      <c r="Y50" s="328"/>
      <c r="Z50" s="330"/>
      <c r="AA50" s="303"/>
      <c r="AC50" s="9" t="s">
        <v>152</v>
      </c>
    </row>
    <row r="51" spans="1:29">
      <c r="A51" s="303"/>
      <c r="B51" s="354"/>
      <c r="C51" s="354"/>
      <c r="D51" s="355"/>
      <c r="E51" s="354"/>
      <c r="F51" s="354"/>
      <c r="G51" s="354"/>
      <c r="H51" s="356"/>
      <c r="I51" s="354"/>
      <c r="J51" s="356"/>
      <c r="K51" s="354"/>
      <c r="L51" s="354"/>
      <c r="M51" s="354"/>
      <c r="N51" s="354"/>
      <c r="O51" s="354"/>
      <c r="P51" s="356"/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9" ht="72">
      <c r="A52" s="357" t="s">
        <v>153</v>
      </c>
      <c r="B52" s="354">
        <f>14-J73+I73+K73</f>
        <v>11.35</v>
      </c>
      <c r="C52" s="354"/>
      <c r="D52" s="308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8"/>
      <c r="Y52" s="358"/>
    </row>
    <row r="53" spans="1:29" ht="72">
      <c r="A53" s="357" t="s">
        <v>154</v>
      </c>
      <c r="B53" s="359">
        <f>B44/B52</f>
        <v>46.607929515418505</v>
      </c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8"/>
      <c r="Y53" s="358"/>
    </row>
    <row r="54" spans="1:29" ht="72">
      <c r="A54" s="357" t="s">
        <v>155</v>
      </c>
      <c r="B54" s="354">
        <f>B46*B47</f>
        <v>64.199029126213588</v>
      </c>
      <c r="C54" s="354"/>
      <c r="D54" s="354">
        <f>B46*D47</f>
        <v>77.038834951456295</v>
      </c>
      <c r="E54" s="354"/>
      <c r="F54" s="354">
        <f>B46*F47</f>
        <v>77.038834951456295</v>
      </c>
      <c r="G54" s="354"/>
      <c r="H54" s="359">
        <f>B46*H47</f>
        <v>59.063106796116493</v>
      </c>
      <c r="I54" s="354"/>
      <c r="J54" s="354">
        <f>B46*J47</f>
        <v>64.199029126213588</v>
      </c>
      <c r="K54" s="354"/>
      <c r="L54" s="354">
        <f>B46*L47</f>
        <v>64.199029126213588</v>
      </c>
      <c r="M54" s="354"/>
      <c r="N54" s="359">
        <f>B46*N47</f>
        <v>64.199029126213588</v>
      </c>
      <c r="O54" s="354"/>
      <c r="P54" s="354">
        <f>B46*P47</f>
        <v>59.063106796116493</v>
      </c>
      <c r="Q54" s="354"/>
      <c r="R54" s="354"/>
      <c r="S54" s="354"/>
      <c r="T54" s="354"/>
      <c r="U54" s="354"/>
      <c r="V54" s="354"/>
      <c r="W54" s="354"/>
      <c r="X54" s="354"/>
      <c r="Y54" s="354"/>
      <c r="Z54" s="303"/>
      <c r="AA54" s="303"/>
    </row>
    <row r="55" spans="1:29" ht="72">
      <c r="A55" s="357" t="s">
        <v>156</v>
      </c>
      <c r="B55" s="354">
        <f>B54/B53</f>
        <v>1.3774271844660193</v>
      </c>
      <c r="C55" s="354"/>
      <c r="D55" s="354">
        <f>D54/B53</f>
        <v>1.6529126213592229</v>
      </c>
      <c r="E55" s="354"/>
      <c r="F55" s="354">
        <f>F54/B53</f>
        <v>1.6529126213592229</v>
      </c>
      <c r="G55" s="354"/>
      <c r="H55" s="354">
        <f>H54/B53</f>
        <v>1.2672330097087376</v>
      </c>
      <c r="I55" s="354"/>
      <c r="J55" s="354">
        <f>J54/B53</f>
        <v>1.3774271844660193</v>
      </c>
      <c r="K55" s="354"/>
      <c r="L55" s="354">
        <f>L54/B53</f>
        <v>1.3774271844660193</v>
      </c>
      <c r="M55" s="354"/>
      <c r="N55" s="359">
        <f>N54/B53</f>
        <v>1.3774271844660193</v>
      </c>
      <c r="O55" s="354"/>
      <c r="P55" s="354">
        <f>P54/B53</f>
        <v>1.2672330097087376</v>
      </c>
      <c r="Q55" s="354"/>
      <c r="R55" s="354"/>
      <c r="S55" s="354"/>
      <c r="T55" s="354"/>
      <c r="U55" s="354"/>
      <c r="V55" s="354"/>
      <c r="W55" s="354"/>
      <c r="X55" s="354"/>
      <c r="Y55" s="354"/>
      <c r="Z55" s="303"/>
      <c r="AA55" s="303"/>
    </row>
    <row r="56" spans="1:29">
      <c r="A56" s="303"/>
      <c r="B56" s="354"/>
      <c r="C56" s="354"/>
      <c r="D56" s="354"/>
      <c r="E56" s="354"/>
      <c r="F56" s="354"/>
      <c r="G56" s="354"/>
      <c r="H56" s="354"/>
      <c r="I56" s="354"/>
      <c r="J56" s="354"/>
      <c r="K56" s="354"/>
      <c r="L56" s="354"/>
      <c r="M56" s="354"/>
      <c r="N56" s="354"/>
      <c r="O56" s="354"/>
      <c r="P56" s="354"/>
      <c r="Q56" s="354"/>
      <c r="R56" s="354"/>
      <c r="S56" s="354"/>
      <c r="T56" s="354"/>
      <c r="U56" s="354"/>
      <c r="V56" s="354"/>
      <c r="W56" s="354"/>
      <c r="X56" s="354"/>
      <c r="Y56" s="354"/>
      <c r="Z56" s="303"/>
      <c r="AA56" s="303"/>
    </row>
    <row r="57" spans="1:29">
      <c r="A57" s="303"/>
      <c r="B57" s="354"/>
      <c r="C57" s="354"/>
      <c r="D57" s="354"/>
      <c r="E57" s="354"/>
      <c r="F57" s="354"/>
      <c r="G57" s="354"/>
      <c r="H57" s="354"/>
      <c r="I57" s="354"/>
      <c r="J57" s="354"/>
      <c r="K57" s="354"/>
      <c r="L57" s="354"/>
      <c r="M57" s="354"/>
      <c r="N57" s="354"/>
      <c r="O57" s="354"/>
      <c r="P57" s="354"/>
      <c r="Q57" s="354"/>
      <c r="R57" s="354"/>
      <c r="S57" s="354"/>
      <c r="T57" s="354"/>
      <c r="U57" s="354"/>
      <c r="V57" s="354"/>
      <c r="W57" s="354"/>
      <c r="X57" s="354"/>
      <c r="Y57" s="354"/>
      <c r="Z57" s="303"/>
      <c r="AA57" s="303"/>
    </row>
    <row r="58" spans="1:29" ht="36">
      <c r="A58" s="360" t="s">
        <v>157</v>
      </c>
      <c r="B58" s="361"/>
      <c r="C58" s="362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3"/>
      <c r="X58" s="353"/>
      <c r="Y58" s="354"/>
      <c r="Z58" s="303"/>
      <c r="AA58" s="303"/>
    </row>
    <row r="59" spans="1:29">
      <c r="A59" s="303"/>
      <c r="B59" s="361" t="s">
        <v>158</v>
      </c>
      <c r="C59" s="362"/>
      <c r="D59" s="362"/>
      <c r="E59" s="362"/>
      <c r="F59" s="362"/>
      <c r="G59" s="362"/>
      <c r="H59" s="362"/>
      <c r="I59" s="362"/>
      <c r="J59" s="363"/>
      <c r="K59" s="353"/>
      <c r="L59" s="353"/>
      <c r="M59" s="353"/>
      <c r="N59" s="353"/>
      <c r="O59" s="353"/>
      <c r="P59" s="353"/>
      <c r="Q59" s="353"/>
      <c r="R59" s="353"/>
      <c r="S59" s="353"/>
      <c r="T59" s="353"/>
      <c r="U59" s="353"/>
      <c r="V59" s="353"/>
      <c r="W59" s="353"/>
      <c r="X59" s="353"/>
      <c r="Y59" s="354"/>
      <c r="Z59" s="303"/>
      <c r="AA59" s="303"/>
    </row>
    <row r="60" spans="1:29">
      <c r="A60" s="303"/>
      <c r="B60" s="361" t="s">
        <v>159</v>
      </c>
      <c r="C60" s="362"/>
      <c r="D60" s="362"/>
      <c r="E60" s="362"/>
      <c r="F60" s="362"/>
      <c r="G60" s="362"/>
      <c r="H60" s="362"/>
      <c r="I60" s="362"/>
      <c r="J60" s="363"/>
      <c r="K60" s="353"/>
      <c r="L60" s="353"/>
      <c r="M60" s="353"/>
      <c r="N60" s="353"/>
      <c r="O60" s="353"/>
      <c r="P60" s="353"/>
      <c r="Q60" s="353"/>
      <c r="R60" s="353"/>
      <c r="S60" s="353"/>
      <c r="T60" s="353"/>
      <c r="U60" s="353"/>
      <c r="V60" s="353"/>
      <c r="W60" s="353"/>
      <c r="X60" s="353"/>
      <c r="Y60" s="354"/>
      <c r="Z60" s="303"/>
      <c r="AA60" s="303"/>
    </row>
    <row r="61" spans="1:29">
      <c r="A61" s="303"/>
      <c r="B61" s="361" t="s">
        <v>160</v>
      </c>
      <c r="C61" s="361"/>
      <c r="D61" s="362"/>
      <c r="E61" s="362"/>
      <c r="F61" s="362"/>
      <c r="G61" s="362"/>
      <c r="H61" s="362"/>
      <c r="I61" s="362"/>
      <c r="J61" s="363"/>
      <c r="K61" s="353"/>
      <c r="L61" s="353"/>
      <c r="M61" s="353"/>
      <c r="N61" s="353"/>
      <c r="O61" s="353"/>
      <c r="P61" s="353"/>
      <c r="Q61" s="353"/>
      <c r="R61" s="353"/>
      <c r="S61" s="353"/>
      <c r="T61" s="353"/>
      <c r="U61" s="353"/>
      <c r="V61" s="353"/>
      <c r="W61" s="353"/>
      <c r="X61" s="353"/>
      <c r="Y61" s="354"/>
      <c r="Z61" s="303"/>
      <c r="AA61" s="303"/>
    </row>
    <row r="62" spans="1:29">
      <c r="A62" s="364"/>
      <c r="B62" s="361" t="s">
        <v>161</v>
      </c>
      <c r="C62" s="361"/>
      <c r="D62" s="361"/>
      <c r="E62" s="361"/>
      <c r="F62" s="361"/>
      <c r="G62" s="361"/>
      <c r="H62" s="361"/>
      <c r="I62" s="361"/>
      <c r="J62" s="365"/>
      <c r="K62" s="366"/>
      <c r="L62" s="366"/>
      <c r="M62" s="366"/>
      <c r="N62" s="366"/>
      <c r="O62" s="366"/>
      <c r="P62" s="366"/>
      <c r="Q62" s="366"/>
      <c r="R62" s="353"/>
      <c r="S62" s="353"/>
      <c r="T62" s="353"/>
      <c r="U62" s="353"/>
      <c r="V62" s="353"/>
      <c r="W62" s="353"/>
      <c r="X62" s="353"/>
      <c r="Y62" s="355"/>
      <c r="Z62" s="364"/>
      <c r="AA62" s="364"/>
    </row>
    <row r="63" spans="1:29">
      <c r="A63" s="364"/>
      <c r="B63" s="367" t="s">
        <v>324</v>
      </c>
      <c r="C63" s="366"/>
      <c r="D63" s="366"/>
      <c r="E63" s="365"/>
      <c r="F63" s="365"/>
      <c r="G63" s="365"/>
      <c r="H63" s="365"/>
      <c r="I63" s="365"/>
      <c r="J63" s="365"/>
      <c r="K63" s="366"/>
      <c r="L63" s="366"/>
      <c r="M63" s="366"/>
      <c r="N63" s="366"/>
      <c r="O63" s="366"/>
      <c r="P63" s="366"/>
      <c r="Q63" s="366"/>
      <c r="R63" s="366"/>
      <c r="S63" s="366"/>
      <c r="T63" s="366"/>
      <c r="U63" s="366"/>
      <c r="V63" s="366"/>
      <c r="W63" s="366"/>
      <c r="X63" s="353"/>
      <c r="Y63" s="355"/>
      <c r="Z63" s="364"/>
      <c r="AA63" s="364"/>
    </row>
    <row r="64" spans="1:29">
      <c r="A64" s="364"/>
      <c r="B64" s="366" t="s">
        <v>163</v>
      </c>
      <c r="C64" s="366"/>
      <c r="D64" s="366"/>
      <c r="E64" s="366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6" t="s">
        <v>164</v>
      </c>
      <c r="C65" s="366"/>
      <c r="D65" s="366"/>
      <c r="E65" s="366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64"/>
      <c r="B66" s="367" t="s">
        <v>325</v>
      </c>
      <c r="C66" s="367"/>
      <c r="D66" s="367"/>
      <c r="E66" s="367"/>
      <c r="F66" s="367"/>
      <c r="G66" s="367"/>
      <c r="H66" s="366"/>
      <c r="I66" s="366"/>
      <c r="J66" s="366"/>
      <c r="K66" s="366"/>
      <c r="L66" s="366"/>
      <c r="M66" s="366"/>
      <c r="N66" s="366"/>
      <c r="O66" s="366"/>
      <c r="P66" s="366"/>
      <c r="Q66" s="366"/>
      <c r="R66" s="366"/>
      <c r="S66" s="368"/>
      <c r="T66" s="368"/>
      <c r="U66" s="368"/>
      <c r="V66" s="368"/>
      <c r="W66" s="368"/>
      <c r="X66" s="369"/>
      <c r="Y66" s="364"/>
      <c r="Z66" s="364"/>
      <c r="AA66" s="364"/>
    </row>
    <row r="67" spans="1:27">
      <c r="A67" s="364"/>
      <c r="B67" s="367" t="s">
        <v>166</v>
      </c>
      <c r="C67" s="370"/>
      <c r="D67" s="370"/>
      <c r="E67" s="371"/>
      <c r="F67" s="366"/>
      <c r="G67" s="366"/>
      <c r="H67" s="366"/>
      <c r="I67" s="366"/>
      <c r="J67" s="366"/>
      <c r="K67" s="366"/>
      <c r="L67" s="366"/>
      <c r="M67" s="366"/>
      <c r="N67" s="366"/>
      <c r="O67" s="366"/>
      <c r="P67" s="366"/>
      <c r="Q67" s="366"/>
      <c r="R67" s="366"/>
      <c r="S67" s="368"/>
      <c r="T67" s="368"/>
      <c r="U67" s="368"/>
      <c r="V67" s="368"/>
      <c r="W67" s="368"/>
      <c r="X67" s="369"/>
      <c r="Y67" s="364"/>
      <c r="Z67" s="364"/>
      <c r="AA67" s="364"/>
    </row>
    <row r="68" spans="1:27">
      <c r="A68" s="364"/>
      <c r="B68" s="367" t="s">
        <v>167</v>
      </c>
      <c r="C68" s="370"/>
      <c r="D68" s="370"/>
      <c r="E68" s="371"/>
      <c r="F68" s="366"/>
      <c r="G68" s="366"/>
      <c r="H68" s="366"/>
      <c r="I68" s="366"/>
      <c r="J68" s="366"/>
      <c r="K68" s="366"/>
      <c r="L68" s="366"/>
      <c r="M68" s="366"/>
      <c r="N68" s="366"/>
      <c r="O68" s="366"/>
      <c r="P68" s="366"/>
      <c r="Q68" s="366"/>
      <c r="R68" s="366"/>
      <c r="S68" s="368"/>
      <c r="T68" s="368"/>
      <c r="U68" s="368"/>
      <c r="V68" s="368"/>
      <c r="W68" s="368"/>
      <c r="X68" s="369"/>
      <c r="Y68" s="364"/>
      <c r="Z68" s="364"/>
      <c r="AA68" s="364"/>
    </row>
    <row r="69" spans="1:27">
      <c r="A69" s="364"/>
      <c r="B69" s="367" t="s">
        <v>168</v>
      </c>
      <c r="C69" s="370"/>
      <c r="D69" s="370"/>
      <c r="E69" s="371"/>
      <c r="F69" s="366"/>
      <c r="G69" s="366"/>
      <c r="H69" s="366"/>
      <c r="I69" s="366"/>
      <c r="J69" s="366"/>
      <c r="K69" s="366"/>
      <c r="L69" s="366"/>
      <c r="M69" s="366"/>
      <c r="N69" s="366"/>
      <c r="O69" s="366"/>
      <c r="P69" s="366"/>
      <c r="Q69" s="366"/>
      <c r="R69" s="366"/>
      <c r="S69" s="368"/>
      <c r="T69" s="368"/>
      <c r="U69" s="368"/>
      <c r="V69" s="368"/>
      <c r="W69" s="368"/>
      <c r="X69" s="369"/>
      <c r="Y69" s="364"/>
      <c r="Z69" s="364"/>
      <c r="AA69" s="364"/>
    </row>
    <row r="70" spans="1:27">
      <c r="A70" s="372" t="s">
        <v>169</v>
      </c>
      <c r="B70" s="373"/>
      <c r="C70" s="366"/>
      <c r="D70" s="366"/>
      <c r="E70" s="366"/>
      <c r="F70" s="366"/>
      <c r="G70" s="374"/>
      <c r="H70" s="374"/>
      <c r="I70" s="374"/>
      <c r="J70" s="374"/>
      <c r="K70" s="374"/>
      <c r="L70" s="374"/>
      <c r="M70" s="374"/>
      <c r="N70" s="374"/>
      <c r="O70" s="374"/>
      <c r="P70" s="374"/>
      <c r="Q70" s="374"/>
      <c r="R70" s="374"/>
      <c r="S70" s="374"/>
      <c r="T70" s="374"/>
      <c r="U70" s="374"/>
      <c r="V70" s="374"/>
      <c r="W70" s="374"/>
      <c r="X70" s="374"/>
      <c r="Y70" s="374"/>
      <c r="Z70" s="374"/>
      <c r="AA70" s="374"/>
    </row>
    <row r="71" spans="1:27">
      <c r="A71" s="306"/>
      <c r="B71" s="373"/>
      <c r="C71" s="366"/>
      <c r="D71" s="366"/>
      <c r="E71" s="366"/>
      <c r="F71" s="366"/>
      <c r="G71" s="306"/>
      <c r="H71" s="306"/>
      <c r="I71" s="306"/>
      <c r="J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  <c r="Z71" s="306"/>
      <c r="AA71" s="306"/>
    </row>
    <row r="72" spans="1:27">
      <c r="B72" s="375" t="s">
        <v>170</v>
      </c>
      <c r="C72" s="376" t="s">
        <v>171</v>
      </c>
      <c r="D72" s="376" t="s">
        <v>172</v>
      </c>
      <c r="E72" s="376" t="s">
        <v>53</v>
      </c>
      <c r="F72" s="376" t="s">
        <v>7</v>
      </c>
      <c r="G72" s="376" t="s">
        <v>173</v>
      </c>
      <c r="H72" s="376" t="s">
        <v>174</v>
      </c>
      <c r="I72" s="377" t="s">
        <v>175</v>
      </c>
      <c r="J72" s="375" t="s">
        <v>176</v>
      </c>
      <c r="K72" s="378" t="s">
        <v>177</v>
      </c>
      <c r="L72" s="379"/>
      <c r="M72" s="379"/>
      <c r="N72" s="379"/>
      <c r="O72" s="379"/>
      <c r="P72" s="306"/>
      <c r="Q72" s="306"/>
      <c r="R72" s="306"/>
      <c r="S72" s="306"/>
      <c r="T72" s="306"/>
      <c r="U72" s="306"/>
      <c r="V72" s="306"/>
      <c r="W72" s="306"/>
      <c r="X72" s="306"/>
      <c r="Y72" s="306"/>
      <c r="Z72" s="306"/>
      <c r="AA72" s="306"/>
    </row>
    <row r="73" spans="1:27">
      <c r="B73" s="376"/>
      <c r="C73" s="376">
        <v>0.75</v>
      </c>
      <c r="D73" s="376" t="s">
        <v>178</v>
      </c>
      <c r="E73" s="376">
        <v>0.25</v>
      </c>
      <c r="F73" s="376">
        <f>Q21</f>
        <v>0.4</v>
      </c>
      <c r="G73" s="380">
        <v>1.25</v>
      </c>
      <c r="H73" s="376">
        <v>0</v>
      </c>
      <c r="I73" s="377">
        <v>0</v>
      </c>
      <c r="J73" s="376">
        <f>SUM(C73:H73)</f>
        <v>2.65</v>
      </c>
      <c r="K73" s="378">
        <v>0</v>
      </c>
      <c r="L73" s="379"/>
      <c r="M73" s="379"/>
      <c r="N73" s="379"/>
      <c r="O73" s="379"/>
      <c r="P73" s="306"/>
      <c r="Q73" s="306"/>
      <c r="R73" s="306"/>
      <c r="S73" s="306"/>
      <c r="T73" s="306"/>
      <c r="U73" s="306"/>
      <c r="V73" s="306"/>
      <c r="W73" s="306"/>
      <c r="X73" s="306"/>
      <c r="Y73" s="306"/>
      <c r="Z73" s="306"/>
      <c r="AA73" s="306"/>
    </row>
    <row r="74" spans="1:27">
      <c r="A74" s="306"/>
      <c r="B74" s="306"/>
      <c r="C74" s="306"/>
      <c r="D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R74" s="306"/>
      <c r="S74" s="306"/>
      <c r="T74" s="306"/>
      <c r="U74" s="306"/>
      <c r="V74" s="306"/>
      <c r="W74" s="306"/>
      <c r="X74" s="306"/>
      <c r="Y74" s="306"/>
      <c r="Z74" s="306"/>
      <c r="AA74" s="306"/>
    </row>
    <row r="76" spans="1:27" ht="72">
      <c r="A76" s="381" t="s">
        <v>179</v>
      </c>
      <c r="B76" s="382" t="s">
        <v>180</v>
      </c>
      <c r="C76" s="382">
        <v>0</v>
      </c>
      <c r="D76" s="382">
        <v>0</v>
      </c>
    </row>
    <row r="77" spans="1:27">
      <c r="A77" s="382"/>
      <c r="B77" s="382" t="s">
        <v>181</v>
      </c>
      <c r="C77" s="382">
        <f>IF(OR(E1="Wednesday",E1="Friday"),0.75,0.5)</f>
        <v>0.75</v>
      </c>
      <c r="D77" s="382">
        <f>IF(OR(E1="Monday",E1="Friday"),0.25,0.5)</f>
        <v>0.5</v>
      </c>
    </row>
    <row r="78" spans="1:27">
      <c r="A78" s="382"/>
      <c r="B78" s="382" t="s">
        <v>182</v>
      </c>
      <c r="C78" s="382">
        <f>0.25</f>
        <v>0.25</v>
      </c>
      <c r="D78" s="382"/>
      <c r="K78" s="306"/>
      <c r="L78" s="306"/>
      <c r="M78" s="306"/>
      <c r="N78" s="306"/>
      <c r="O78" s="306"/>
    </row>
    <row r="81" spans="1:3">
      <c r="A81" s="383"/>
    </row>
    <row r="85" spans="1:3">
      <c r="A85" s="8" t="s">
        <v>183</v>
      </c>
    </row>
    <row r="86" spans="1:3">
      <c r="A86" s="8" t="s">
        <v>184</v>
      </c>
      <c r="B86" s="8" t="s">
        <v>185</v>
      </c>
    </row>
    <row r="87" spans="1:3">
      <c r="B87" s="8" t="s">
        <v>186</v>
      </c>
    </row>
    <row r="89" spans="1:3">
      <c r="B89" s="8" t="s">
        <v>187</v>
      </c>
    </row>
    <row r="93" spans="1:3">
      <c r="C93" s="384"/>
    </row>
    <row r="102" spans="16:20">
      <c r="P102" s="385"/>
      <c r="Q102" s="385"/>
      <c r="R102" s="385"/>
      <c r="S102" s="385"/>
      <c r="T102" s="385"/>
    </row>
    <row r="103" spans="16:20">
      <c r="P103" s="386"/>
      <c r="Q103" s="386"/>
      <c r="R103" s="386"/>
      <c r="S103" s="386"/>
      <c r="T103" s="386"/>
    </row>
    <row r="104" spans="16:20">
      <c r="P104" s="386"/>
      <c r="Q104" s="386"/>
      <c r="R104" s="386"/>
      <c r="S104" s="386"/>
      <c r="T104" s="386"/>
    </row>
    <row r="105" spans="16:20" ht="36" thickBot="1">
      <c r="P105" s="387"/>
      <c r="Q105" s="387"/>
      <c r="R105" s="387"/>
      <c r="S105" s="388"/>
      <c r="T105" s="389"/>
    </row>
  </sheetData>
  <mergeCells count="6">
    <mergeCell ref="V44:Y45"/>
    <mergeCell ref="R3:U3"/>
    <mergeCell ref="R21:U22"/>
    <mergeCell ref="R23:U23"/>
    <mergeCell ref="S25:U25"/>
    <mergeCell ref="R26:U27"/>
  </mergeCells>
  <phoneticPr fontId="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J101"/>
  <sheetViews>
    <sheetView zoomScale="40" zoomScaleNormal="40" workbookViewId="0">
      <selection activeCell="P12" sqref="P12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45974</v>
      </c>
      <c r="E1" s="3" t="str">
        <f>TEXT(D1, "dddd")</f>
        <v>星期四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82" t="s">
        <v>33</v>
      </c>
      <c r="C3" s="483"/>
      <c r="D3" s="482" t="s">
        <v>12</v>
      </c>
      <c r="E3" s="568"/>
      <c r="F3" s="484" t="s">
        <v>198</v>
      </c>
      <c r="G3" s="485"/>
      <c r="H3" s="482" t="s">
        <v>37</v>
      </c>
      <c r="I3" s="485"/>
      <c r="J3" s="482" t="s">
        <v>297</v>
      </c>
      <c r="K3" s="485"/>
      <c r="L3" s="482" t="s">
        <v>301</v>
      </c>
      <c r="M3" s="485"/>
      <c r="N3" s="482" t="s">
        <v>15</v>
      </c>
      <c r="O3" s="485"/>
      <c r="P3" s="486" t="s">
        <v>402</v>
      </c>
      <c r="Q3" s="483" t="s">
        <v>39</v>
      </c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82" t="s">
        <v>22</v>
      </c>
      <c r="C4" s="483"/>
      <c r="D4" s="482" t="s">
        <v>25</v>
      </c>
      <c r="E4" s="485"/>
      <c r="F4" s="482" t="s">
        <v>299</v>
      </c>
      <c r="G4" s="485"/>
      <c r="H4" s="482" t="s">
        <v>308</v>
      </c>
      <c r="I4" s="485"/>
      <c r="J4" s="482" t="s">
        <v>14</v>
      </c>
      <c r="K4" s="488" t="s">
        <v>36</v>
      </c>
      <c r="L4" s="489" t="s">
        <v>315</v>
      </c>
      <c r="M4" s="485"/>
      <c r="N4" s="482" t="s">
        <v>38</v>
      </c>
      <c r="O4" s="485" t="s">
        <v>39</v>
      </c>
      <c r="P4" s="482" t="s">
        <v>28</v>
      </c>
      <c r="Q4" s="485"/>
      <c r="R4" s="33" t="s">
        <v>305</v>
      </c>
      <c r="S4" s="34"/>
      <c r="T4" s="34" t="s">
        <v>304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.75" customHeight="1">
      <c r="A5" s="40"/>
      <c r="B5" s="482" t="s">
        <v>504</v>
      </c>
      <c r="C5" s="593" t="s">
        <v>36</v>
      </c>
      <c r="D5" s="482" t="s">
        <v>34</v>
      </c>
      <c r="E5" s="483"/>
      <c r="F5" s="482" t="s">
        <v>300</v>
      </c>
      <c r="G5" s="485"/>
      <c r="H5" s="46"/>
      <c r="I5" s="484"/>
      <c r="J5" s="482" t="s">
        <v>26</v>
      </c>
      <c r="K5" s="485"/>
      <c r="L5" s="482" t="s">
        <v>14</v>
      </c>
      <c r="M5" s="485" t="s">
        <v>39</v>
      </c>
      <c r="N5" s="482" t="s">
        <v>302</v>
      </c>
      <c r="O5" s="485"/>
      <c r="P5" s="482" t="s">
        <v>50</v>
      </c>
      <c r="Q5" s="484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82"/>
      <c r="C6" s="484"/>
      <c r="D6" s="482"/>
      <c r="E6" s="485"/>
      <c r="F6" s="482"/>
      <c r="G6" s="485"/>
      <c r="H6" s="482"/>
      <c r="I6" s="484"/>
      <c r="J6" s="482"/>
      <c r="K6" s="485"/>
      <c r="L6" s="482"/>
      <c r="M6" s="483"/>
      <c r="N6" s="482"/>
      <c r="O6" s="484"/>
      <c r="P6" s="482"/>
      <c r="Q6" s="485"/>
      <c r="R6" s="47" t="s">
        <v>495</v>
      </c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82"/>
      <c r="C7" s="485"/>
      <c r="D7" s="482"/>
      <c r="E7" s="485"/>
      <c r="F7" s="482"/>
      <c r="G7" s="487"/>
      <c r="H7" s="482"/>
      <c r="I7" s="485"/>
      <c r="J7" s="482"/>
      <c r="K7" s="483"/>
      <c r="L7" s="490"/>
      <c r="M7" s="483"/>
      <c r="N7" s="482"/>
      <c r="O7" s="485"/>
      <c r="P7" s="491"/>
      <c r="Q7" s="487"/>
      <c r="R7" s="20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92"/>
      <c r="C8" s="493"/>
      <c r="D8" s="492"/>
      <c r="E8" s="485"/>
      <c r="F8" s="482"/>
      <c r="G8" s="484"/>
      <c r="H8" s="482"/>
      <c r="I8" s="484"/>
      <c r="J8" s="492"/>
      <c r="K8" s="494" t="s">
        <v>45</v>
      </c>
      <c r="L8" s="495"/>
      <c r="M8" s="494"/>
      <c r="N8" s="482"/>
      <c r="O8" s="485"/>
      <c r="P8" s="492"/>
      <c r="Q8" s="496"/>
      <c r="R8" s="403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97"/>
      <c r="C9" s="498">
        <v>2.5</v>
      </c>
      <c r="D9" s="499"/>
      <c r="E9" s="498">
        <v>3</v>
      </c>
      <c r="F9" s="499"/>
      <c r="G9" s="498">
        <v>3</v>
      </c>
      <c r="H9" s="500">
        <v>2</v>
      </c>
      <c r="I9" s="498">
        <f>H9-I11</f>
        <v>2</v>
      </c>
      <c r="J9" s="499"/>
      <c r="K9" s="498">
        <v>2.5</v>
      </c>
      <c r="L9" s="499">
        <v>2.5</v>
      </c>
      <c r="M9" s="498">
        <f>L9-M11</f>
        <v>2.25</v>
      </c>
      <c r="N9" s="501">
        <v>2.5</v>
      </c>
      <c r="O9" s="498">
        <f>N9-O11</f>
        <v>2.5</v>
      </c>
      <c r="P9" s="492">
        <v>2.5</v>
      </c>
      <c r="Q9" s="502">
        <f>P9-Q11</f>
        <v>1.8</v>
      </c>
      <c r="R9" s="40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503"/>
      <c r="C10" s="504"/>
      <c r="D10" s="501"/>
      <c r="E10" s="505"/>
      <c r="F10" s="506"/>
      <c r="G10" s="507"/>
      <c r="H10" s="508"/>
      <c r="I10" s="505"/>
      <c r="J10" s="503"/>
      <c r="K10" s="509"/>
      <c r="L10" s="510"/>
      <c r="M10" s="509"/>
      <c r="N10" s="482"/>
      <c r="O10" s="484"/>
      <c r="P10" s="492"/>
      <c r="Q10" s="487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511"/>
      <c r="C11" s="512"/>
      <c r="D11" s="513"/>
      <c r="E11" s="514"/>
      <c r="F11" s="515"/>
      <c r="G11" s="512"/>
      <c r="H11" s="516" t="s">
        <v>53</v>
      </c>
      <c r="I11" s="517">
        <v>0</v>
      </c>
      <c r="J11" s="515"/>
      <c r="K11" s="518"/>
      <c r="L11" s="516" t="s">
        <v>53</v>
      </c>
      <c r="M11" s="518">
        <v>0.25</v>
      </c>
      <c r="N11" s="516" t="s">
        <v>53</v>
      </c>
      <c r="O11" s="517">
        <v>0</v>
      </c>
      <c r="P11" s="515" t="s">
        <v>54</v>
      </c>
      <c r="Q11" s="519">
        <v>0.7</v>
      </c>
      <c r="R11" s="92" t="s">
        <v>447</v>
      </c>
      <c r="S11" s="474" t="s">
        <v>320</v>
      </c>
      <c r="T11" s="481" t="s">
        <v>500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438" t="s">
        <v>447</v>
      </c>
      <c r="C12" s="601" t="s">
        <v>213</v>
      </c>
      <c r="D12" s="97" t="s">
        <v>503</v>
      </c>
      <c r="E12" s="601" t="s">
        <v>213</v>
      </c>
      <c r="F12" s="438" t="s">
        <v>327</v>
      </c>
      <c r="G12" s="602" t="s">
        <v>213</v>
      </c>
      <c r="H12" s="397" t="s">
        <v>62</v>
      </c>
      <c r="I12" s="601" t="s">
        <v>213</v>
      </c>
      <c r="J12" s="397" t="s">
        <v>502</v>
      </c>
      <c r="K12" s="602" t="s">
        <v>213</v>
      </c>
      <c r="L12" s="397" t="s">
        <v>219</v>
      </c>
      <c r="M12" s="602" t="s">
        <v>213</v>
      </c>
      <c r="N12" s="97" t="s">
        <v>64</v>
      </c>
      <c r="O12" s="602" t="s">
        <v>213</v>
      </c>
      <c r="P12" s="442" t="s">
        <v>445</v>
      </c>
      <c r="Q12" s="603" t="s">
        <v>213</v>
      </c>
      <c r="R12" s="474" t="s">
        <v>442</v>
      </c>
      <c r="S12" s="474" t="s">
        <v>381</v>
      </c>
      <c r="T12" s="471" t="s">
        <v>501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397" t="s">
        <v>263</v>
      </c>
      <c r="C13" s="604" t="s">
        <v>248</v>
      </c>
      <c r="D13" s="397" t="s">
        <v>67</v>
      </c>
      <c r="E13" s="605" t="s">
        <v>507</v>
      </c>
      <c r="F13" s="606" t="s">
        <v>249</v>
      </c>
      <c r="G13" s="607" t="s">
        <v>72</v>
      </c>
      <c r="H13" s="397"/>
      <c r="I13" s="604"/>
      <c r="J13" s="397" t="s">
        <v>382</v>
      </c>
      <c r="K13" s="607" t="s">
        <v>72</v>
      </c>
      <c r="L13" s="397" t="s">
        <v>73</v>
      </c>
      <c r="M13" s="604" t="s">
        <v>87</v>
      </c>
      <c r="N13" s="397" t="s">
        <v>361</v>
      </c>
      <c r="O13" s="604" t="s">
        <v>87</v>
      </c>
      <c r="P13" s="397" t="s">
        <v>361</v>
      </c>
      <c r="Q13" s="602" t="s">
        <v>384</v>
      </c>
      <c r="R13" s="472" t="s">
        <v>326</v>
      </c>
      <c r="S13" s="474" t="s">
        <v>319</v>
      </c>
      <c r="T13" s="55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12.5" customHeight="1">
      <c r="A14" s="96"/>
      <c r="B14" s="397"/>
      <c r="C14" s="604"/>
      <c r="D14" s="608"/>
      <c r="E14" s="607"/>
      <c r="F14" s="606" t="s">
        <v>55</v>
      </c>
      <c r="G14" s="609" t="s">
        <v>194</v>
      </c>
      <c r="H14" s="397"/>
      <c r="I14" s="604"/>
      <c r="J14" s="606"/>
      <c r="K14" s="607"/>
      <c r="L14" s="397"/>
      <c r="M14" s="607"/>
      <c r="N14" s="606" t="s">
        <v>505</v>
      </c>
      <c r="O14" s="604" t="s">
        <v>506</v>
      </c>
      <c r="P14" s="397"/>
      <c r="Q14" s="604"/>
      <c r="R14" s="472" t="s">
        <v>331</v>
      </c>
      <c r="S14" s="474" t="s">
        <v>356</v>
      </c>
      <c r="T14" s="55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14" customHeight="1">
      <c r="A15" s="40"/>
      <c r="B15" s="535"/>
      <c r="C15" s="537"/>
      <c r="D15" s="538"/>
      <c r="E15" s="528"/>
      <c r="F15" s="530"/>
      <c r="G15" s="528"/>
      <c r="H15" s="539"/>
      <c r="I15" s="537"/>
      <c r="J15" s="46"/>
      <c r="L15" s="506"/>
      <c r="M15" s="590"/>
      <c r="N15" s="535"/>
      <c r="O15" s="590"/>
      <c r="P15" s="506"/>
      <c r="Q15" s="524"/>
      <c r="R15" s="472" t="s">
        <v>321</v>
      </c>
      <c r="S15" s="474" t="s">
        <v>484</v>
      </c>
      <c r="T15" s="55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71"/>
      <c r="C16" s="485"/>
      <c r="D16" s="572"/>
      <c r="E16" s="573"/>
      <c r="F16" s="571"/>
      <c r="G16" s="485"/>
      <c r="H16" s="574"/>
      <c r="I16" s="485"/>
      <c r="J16" s="525"/>
      <c r="K16" s="575"/>
      <c r="L16" s="576"/>
      <c r="M16" s="575"/>
      <c r="N16" s="571"/>
      <c r="O16" s="591"/>
      <c r="P16" s="571"/>
      <c r="Q16" s="540"/>
      <c r="R16" s="471" t="s">
        <v>445</v>
      </c>
      <c r="S16" s="599" t="s">
        <v>71</v>
      </c>
      <c r="T16" s="55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532"/>
      <c r="C17" s="541"/>
      <c r="D17" s="577" t="s">
        <v>413</v>
      </c>
      <c r="E17" s="543" t="s">
        <v>39</v>
      </c>
      <c r="F17" s="542" t="s">
        <v>249</v>
      </c>
      <c r="G17" s="544" t="s">
        <v>78</v>
      </c>
      <c r="H17" s="545"/>
      <c r="I17" s="546"/>
      <c r="J17" s="482"/>
      <c r="K17" s="484"/>
      <c r="L17" s="600" t="s">
        <v>382</v>
      </c>
      <c r="M17" s="546" t="s">
        <v>74</v>
      </c>
      <c r="N17" s="545"/>
      <c r="O17" s="546"/>
      <c r="P17" s="547" t="s">
        <v>54</v>
      </c>
      <c r="Q17" s="548">
        <v>0.4</v>
      </c>
      <c r="R17" s="678" t="s">
        <v>499</v>
      </c>
      <c r="S17" s="679"/>
      <c r="T17" s="680"/>
      <c r="U17" s="681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549">
        <f>B51</f>
        <v>1.4034526854219946</v>
      </c>
      <c r="C18" s="550"/>
      <c r="D18" s="549">
        <f>D51</f>
        <v>1.6841432225063937</v>
      </c>
      <c r="E18" s="551"/>
      <c r="F18" s="549">
        <f>F51</f>
        <v>1.6841432225063937</v>
      </c>
      <c r="G18" s="550"/>
      <c r="H18" s="549">
        <f>H51</f>
        <v>1.1227621483375958</v>
      </c>
      <c r="I18" s="550"/>
      <c r="J18" s="552">
        <f>J51</f>
        <v>1.4034526854219946</v>
      </c>
      <c r="K18" s="550"/>
      <c r="L18" s="552">
        <f>L51</f>
        <v>1.2631074168797953</v>
      </c>
      <c r="M18" s="550"/>
      <c r="N18" s="549">
        <f>N51</f>
        <v>1.4034526854219946</v>
      </c>
      <c r="O18" s="551"/>
      <c r="P18" s="553">
        <f>P51</f>
        <v>1.0104859335038361</v>
      </c>
      <c r="Q18" s="551">
        <f>P18+Q17</f>
        <v>1.410485933503836</v>
      </c>
      <c r="R18" s="682"/>
      <c r="S18" s="683"/>
      <c r="T18" s="683"/>
      <c r="U18" s="684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65"/>
      <c r="C19" s="566"/>
      <c r="D19" s="565" t="s">
        <v>478</v>
      </c>
      <c r="E19" s="566" t="s">
        <v>513</v>
      </c>
      <c r="F19" s="565" t="s">
        <v>349</v>
      </c>
      <c r="G19" s="560" t="s">
        <v>512</v>
      </c>
      <c r="H19" s="565"/>
      <c r="I19" s="566"/>
      <c r="J19" s="565" t="s">
        <v>490</v>
      </c>
      <c r="K19" s="566" t="s">
        <v>510</v>
      </c>
      <c r="L19" s="561"/>
      <c r="M19" s="562"/>
      <c r="N19" s="565" t="s">
        <v>473</v>
      </c>
      <c r="O19" s="566" t="s">
        <v>511</v>
      </c>
      <c r="P19" s="565"/>
      <c r="Q19" s="566"/>
      <c r="R19" s="685" t="s">
        <v>90</v>
      </c>
      <c r="S19" s="686"/>
      <c r="T19" s="686"/>
      <c r="U19" s="687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59"/>
      <c r="C20" s="559"/>
      <c r="D20" s="558"/>
      <c r="E20" s="559"/>
      <c r="F20" s="564" t="s">
        <v>508</v>
      </c>
      <c r="G20" s="562" t="s">
        <v>509</v>
      </c>
      <c r="H20" s="564"/>
      <c r="I20" s="559"/>
      <c r="J20" s="558"/>
      <c r="K20" s="559"/>
      <c r="L20" s="558"/>
      <c r="M20" s="559"/>
      <c r="N20" s="558"/>
      <c r="O20" s="559"/>
      <c r="P20" s="558"/>
      <c r="Q20" s="559"/>
      <c r="R20" s="163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159"/>
      <c r="I21" s="107"/>
      <c r="J21" s="24"/>
      <c r="K21" s="160"/>
      <c r="L21" s="56"/>
      <c r="M21" s="107"/>
      <c r="N21" s="24"/>
      <c r="O21" s="107"/>
      <c r="P21" s="24"/>
      <c r="Q21" s="20"/>
      <c r="R21" s="168"/>
      <c r="S21" s="691" t="s">
        <v>93</v>
      </c>
      <c r="T21" s="691"/>
      <c r="U21" s="692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0">
      <c r="A22" s="19"/>
      <c r="D22" s="46"/>
      <c r="F22" s="170"/>
      <c r="G22" s="171"/>
      <c r="H22" s="24"/>
      <c r="I22" s="172"/>
      <c r="J22" s="46"/>
      <c r="L22" s="173" t="s">
        <v>117</v>
      </c>
      <c r="M22" s="172"/>
      <c r="N22" s="174"/>
      <c r="O22" s="175"/>
      <c r="P22" s="176"/>
      <c r="Q22" s="177"/>
      <c r="R22" s="693"/>
      <c r="S22" s="694"/>
      <c r="T22" s="694"/>
      <c r="U22" s="695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96"/>
      <c r="S23" s="697"/>
      <c r="T23" s="697"/>
      <c r="U23" s="698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-7.3529411764705941</v>
      </c>
      <c r="C30" s="218"/>
      <c r="D30" s="219">
        <f>D44</f>
        <v>7.1764705882352899</v>
      </c>
      <c r="E30" s="220"/>
      <c r="F30" s="221">
        <f>F44</f>
        <v>7.1764705882352899</v>
      </c>
      <c r="G30" s="221"/>
      <c r="H30" s="217">
        <f>H44</f>
        <v>-10.882352941176471</v>
      </c>
      <c r="I30" s="218"/>
      <c r="J30" s="217">
        <f>J44</f>
        <v>8.6470588235294059</v>
      </c>
      <c r="K30" s="222"/>
      <c r="L30" s="217">
        <f>L44</f>
        <v>-2.117647058823529</v>
      </c>
      <c r="M30" s="222"/>
      <c r="N30" s="217">
        <f>N44</f>
        <v>2.6470588235294059</v>
      </c>
      <c r="O30" s="222"/>
      <c r="P30" s="152">
        <f>P44</f>
        <v>-5.294117647058826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24" t="s">
        <v>196</v>
      </c>
      <c r="C31" s="445" t="s">
        <v>99</v>
      </c>
      <c r="D31" s="441" t="s">
        <v>23</v>
      </c>
      <c r="E31" s="445" t="s">
        <v>401</v>
      </c>
      <c r="F31" s="419"/>
      <c r="G31" s="464"/>
      <c r="H31" s="486" t="s">
        <v>47</v>
      </c>
      <c r="I31" s="464" t="s">
        <v>242</v>
      </c>
      <c r="J31" s="24"/>
      <c r="K31" s="445"/>
      <c r="L31" s="456" t="s">
        <v>27</v>
      </c>
      <c r="M31" s="464" t="s">
        <v>99</v>
      </c>
      <c r="N31" s="457" t="s">
        <v>498</v>
      </c>
      <c r="O31" s="445"/>
      <c r="P31" s="24" t="s">
        <v>496</v>
      </c>
      <c r="Q31" s="448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24"/>
      <c r="C32" s="107"/>
      <c r="D32" s="24"/>
      <c r="E32" s="229"/>
      <c r="F32" s="457"/>
      <c r="G32" s="229"/>
      <c r="H32" s="24"/>
      <c r="I32" s="445"/>
      <c r="J32" s="24"/>
      <c r="K32" s="229"/>
      <c r="L32" s="441"/>
      <c r="M32" s="229"/>
      <c r="N32" s="24" t="s">
        <v>497</v>
      </c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241"/>
      <c r="C33" s="107"/>
      <c r="D33" s="242"/>
      <c r="E33" s="480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197</v>
      </c>
      <c r="T33" s="232" t="s">
        <v>109</v>
      </c>
      <c r="U33" s="247" t="s">
        <v>110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669"/>
      <c r="W40" s="670"/>
      <c r="X40" s="670"/>
      <c r="Y40" s="671"/>
      <c r="Z40" s="302"/>
      <c r="AA40" s="303"/>
    </row>
    <row r="41" spans="1:33" ht="73" thickBot="1">
      <c r="A41" s="304" t="s">
        <v>136</v>
      </c>
      <c r="B41" s="305">
        <f>SUM(B43:T43)</f>
        <v>19.55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672"/>
      <c r="W41" s="673"/>
      <c r="X41" s="673"/>
      <c r="Y41" s="674"/>
      <c r="Z41" s="302"/>
      <c r="AA41" s="303"/>
    </row>
    <row r="42" spans="1:33" ht="72">
      <c r="A42" s="304" t="s">
        <v>137</v>
      </c>
      <c r="B42" s="294">
        <f>B40/B41</f>
        <v>27.058823529411764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2.5</v>
      </c>
      <c r="C43" s="295"/>
      <c r="D43" s="296">
        <f>E9</f>
        <v>3</v>
      </c>
      <c r="E43" s="297"/>
      <c r="F43" s="296">
        <f>G9</f>
        <v>3</v>
      </c>
      <c r="G43" s="297"/>
      <c r="H43" s="278">
        <f>I9</f>
        <v>2</v>
      </c>
      <c r="I43" s="299"/>
      <c r="J43" s="278">
        <f>K9</f>
        <v>2.5</v>
      </c>
      <c r="K43" s="299"/>
      <c r="L43" s="278">
        <f>M9</f>
        <v>2.25</v>
      </c>
      <c r="M43" s="299"/>
      <c r="N43" s="278">
        <f>O9</f>
        <v>2.5</v>
      </c>
      <c r="O43" s="299"/>
      <c r="P43" s="311">
        <f>Q9</f>
        <v>1.8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-7.3529411764705941</v>
      </c>
      <c r="C44" s="295"/>
      <c r="D44" s="318">
        <f>B40/B41*D43-D45</f>
        <v>7.1764705882352899</v>
      </c>
      <c r="E44" s="319"/>
      <c r="F44" s="318">
        <f>B40/B41*F43-F45</f>
        <v>7.1764705882352899</v>
      </c>
      <c r="G44" s="320"/>
      <c r="H44" s="321">
        <f>B40/B41*H43-H45</f>
        <v>-10.882352941176471</v>
      </c>
      <c r="I44" s="322"/>
      <c r="J44" s="321">
        <f>B40/B41*J43-J45</f>
        <v>8.6470588235294059</v>
      </c>
      <c r="K44" s="322"/>
      <c r="L44" s="321">
        <f>B40/B41*L43-L45</f>
        <v>-2.117647058823529</v>
      </c>
      <c r="M44" s="322"/>
      <c r="N44" s="321">
        <f>B40/B41*N43-N45</f>
        <v>2.6470588235294059</v>
      </c>
      <c r="O44" s="322"/>
      <c r="P44" s="311">
        <f>B40/B41*P43-P45</f>
        <v>-5.294117647058826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313</v>
      </c>
      <c r="K46" s="348">
        <v>59</v>
      </c>
      <c r="L46" s="349" t="s">
        <v>312</v>
      </c>
      <c r="M46" s="348">
        <v>63</v>
      </c>
      <c r="N46" s="349" t="s">
        <v>311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10.975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48.200455580865608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67.647058823529406</v>
      </c>
      <c r="C50" s="354"/>
      <c r="D50" s="354">
        <f>B42*D43</f>
        <v>81.17647058823529</v>
      </c>
      <c r="E50" s="354"/>
      <c r="F50" s="354">
        <f>B42*F43</f>
        <v>81.17647058823529</v>
      </c>
      <c r="G50" s="354"/>
      <c r="H50" s="359">
        <f>B42*H43</f>
        <v>54.117647058823529</v>
      </c>
      <c r="I50" s="354"/>
      <c r="J50" s="354">
        <f>B42*J43</f>
        <v>67.647058823529406</v>
      </c>
      <c r="K50" s="354"/>
      <c r="L50" s="354">
        <f>B42*L43</f>
        <v>60.882352941176471</v>
      </c>
      <c r="M50" s="354"/>
      <c r="N50" s="359">
        <f>B42*N43</f>
        <v>67.647058823529406</v>
      </c>
      <c r="O50" s="354"/>
      <c r="P50" s="354">
        <f>B42*P43</f>
        <v>48.705882352941174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1.4034526854219946</v>
      </c>
      <c r="C51" s="354"/>
      <c r="D51" s="354">
        <f>D50/B49</f>
        <v>1.6841432225063937</v>
      </c>
      <c r="E51" s="354"/>
      <c r="F51" s="354">
        <f>F50/B49</f>
        <v>1.6841432225063937</v>
      </c>
      <c r="G51" s="354"/>
      <c r="H51" s="354">
        <f>H50/B49</f>
        <v>1.1227621483375958</v>
      </c>
      <c r="I51" s="354"/>
      <c r="J51" s="354">
        <f>J50/B49</f>
        <v>1.4034526854219946</v>
      </c>
      <c r="K51" s="354"/>
      <c r="L51" s="354">
        <f>L50/B49</f>
        <v>1.2631074168797953</v>
      </c>
      <c r="M51" s="354"/>
      <c r="N51" s="359">
        <f>N50/B49</f>
        <v>1.4034526854219946</v>
      </c>
      <c r="O51" s="354"/>
      <c r="P51" s="354">
        <f>P50/B49</f>
        <v>1.0104859335038361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324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325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0.25</v>
      </c>
      <c r="F69" s="376">
        <f>Q17</f>
        <v>0.4</v>
      </c>
      <c r="G69" s="380">
        <v>1.625</v>
      </c>
      <c r="H69" s="376">
        <v>0</v>
      </c>
      <c r="I69" s="377">
        <v>0</v>
      </c>
      <c r="J69" s="376">
        <f>SUM(C69:H69)</f>
        <v>3.0249999999999999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J101"/>
  <sheetViews>
    <sheetView zoomScale="21" zoomScaleNormal="21" workbookViewId="0">
      <selection activeCell="B4" sqref="B4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45975</v>
      </c>
      <c r="E1" s="3" t="str">
        <f>TEXT(D1, "dddd")</f>
        <v>星期五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82" t="s">
        <v>33</v>
      </c>
      <c r="C3" s="483"/>
      <c r="D3" s="482" t="s">
        <v>12</v>
      </c>
      <c r="E3" s="568"/>
      <c r="F3" s="482" t="s">
        <v>299</v>
      </c>
      <c r="G3" s="485"/>
      <c r="H3" s="482" t="s">
        <v>37</v>
      </c>
      <c r="I3" s="485"/>
      <c r="J3" s="482" t="s">
        <v>297</v>
      </c>
      <c r="K3" s="485"/>
      <c r="L3" s="482" t="s">
        <v>301</v>
      </c>
      <c r="M3" s="485"/>
      <c r="N3" s="482" t="s">
        <v>15</v>
      </c>
      <c r="O3" s="485"/>
      <c r="P3" s="486" t="s">
        <v>402</v>
      </c>
      <c r="Q3" s="483" t="s">
        <v>36</v>
      </c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82" t="s">
        <v>22</v>
      </c>
      <c r="C4" s="483"/>
      <c r="D4" s="482" t="s">
        <v>25</v>
      </c>
      <c r="E4" s="485"/>
      <c r="F4" s="482" t="s">
        <v>300</v>
      </c>
      <c r="G4" s="485"/>
      <c r="H4" s="482" t="s">
        <v>308</v>
      </c>
      <c r="I4" s="485"/>
      <c r="J4" s="482" t="s">
        <v>14</v>
      </c>
      <c r="K4" s="488" t="s">
        <v>36</v>
      </c>
      <c r="L4" s="489" t="s">
        <v>315</v>
      </c>
      <c r="M4" s="485"/>
      <c r="N4" s="482" t="s">
        <v>38</v>
      </c>
      <c r="O4" s="485"/>
      <c r="P4" s="482" t="s">
        <v>28</v>
      </c>
      <c r="Q4" s="485"/>
      <c r="R4" s="33" t="s">
        <v>305</v>
      </c>
      <c r="S4" s="34"/>
      <c r="T4" s="34" t="s">
        <v>304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.75" customHeight="1">
      <c r="A5" s="40"/>
      <c r="B5" s="482" t="s">
        <v>504</v>
      </c>
      <c r="C5" s="483" t="s">
        <v>39</v>
      </c>
      <c r="D5" s="482" t="s">
        <v>34</v>
      </c>
      <c r="E5" s="483"/>
      <c r="F5" s="46"/>
      <c r="G5" s="485"/>
      <c r="H5" s="482" t="s">
        <v>523</v>
      </c>
      <c r="I5" s="484">
        <v>0.75</v>
      </c>
      <c r="J5" s="482" t="s">
        <v>26</v>
      </c>
      <c r="K5" s="485"/>
      <c r="L5" s="482" t="s">
        <v>14</v>
      </c>
      <c r="M5" s="485" t="s">
        <v>39</v>
      </c>
      <c r="N5" s="482" t="s">
        <v>302</v>
      </c>
      <c r="O5" s="485"/>
      <c r="P5" s="482" t="s">
        <v>50</v>
      </c>
      <c r="Q5" s="484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82"/>
      <c r="C6" s="484"/>
      <c r="D6" s="482"/>
      <c r="E6" s="485"/>
      <c r="F6" s="482"/>
      <c r="G6" s="485"/>
      <c r="H6" s="482"/>
      <c r="I6" s="484"/>
      <c r="J6" s="482"/>
      <c r="K6" s="485"/>
      <c r="L6" s="482"/>
      <c r="M6" s="483"/>
      <c r="N6" s="482"/>
      <c r="O6" s="484"/>
      <c r="P6" s="482"/>
      <c r="Q6" s="485"/>
      <c r="R6" s="47" t="s">
        <v>514</v>
      </c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82"/>
      <c r="C7" s="485"/>
      <c r="D7" s="482"/>
      <c r="E7" s="485"/>
      <c r="F7" s="482"/>
      <c r="G7" s="487"/>
      <c r="H7" s="482"/>
      <c r="I7" s="485"/>
      <c r="J7" s="482"/>
      <c r="K7" s="483"/>
      <c r="L7" s="490"/>
      <c r="M7" s="483"/>
      <c r="N7" s="482"/>
      <c r="O7" s="485"/>
      <c r="P7" s="491"/>
      <c r="Q7" s="487"/>
      <c r="R7" s="20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92"/>
      <c r="C8" s="493"/>
      <c r="D8" s="492"/>
      <c r="E8" s="485"/>
      <c r="F8" s="482"/>
      <c r="G8" s="484"/>
      <c r="H8" s="482"/>
      <c r="I8" s="484"/>
      <c r="J8" s="492"/>
      <c r="K8" s="494" t="s">
        <v>45</v>
      </c>
      <c r="L8" s="495"/>
      <c r="M8" s="494"/>
      <c r="N8" s="482"/>
      <c r="O8" s="485"/>
      <c r="P8" s="492"/>
      <c r="Q8" s="496"/>
      <c r="R8" s="403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97"/>
      <c r="C9" s="498">
        <v>2.5</v>
      </c>
      <c r="D9" s="499"/>
      <c r="E9" s="498">
        <v>3</v>
      </c>
      <c r="F9" s="499"/>
      <c r="G9" s="498">
        <v>2</v>
      </c>
      <c r="H9" s="500">
        <v>2.75</v>
      </c>
      <c r="I9" s="498">
        <f>H9-I11</f>
        <v>2.75</v>
      </c>
      <c r="J9" s="499"/>
      <c r="K9" s="498">
        <v>2.5</v>
      </c>
      <c r="L9" s="499">
        <v>2.5</v>
      </c>
      <c r="M9" s="498">
        <f>L9-M11</f>
        <v>2.5</v>
      </c>
      <c r="N9" s="501">
        <v>3</v>
      </c>
      <c r="O9" s="498">
        <f>N9-O11</f>
        <v>2.6</v>
      </c>
      <c r="P9" s="492">
        <v>2.5</v>
      </c>
      <c r="Q9" s="502">
        <f>P9-Q11</f>
        <v>1.8</v>
      </c>
      <c r="R9" s="40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503"/>
      <c r="C10" s="504"/>
      <c r="D10" s="501"/>
      <c r="E10" s="505"/>
      <c r="F10" s="506"/>
      <c r="G10" s="507"/>
      <c r="H10" s="508"/>
      <c r="I10" s="505"/>
      <c r="J10" s="503"/>
      <c r="K10" s="509"/>
      <c r="L10" s="510"/>
      <c r="M10" s="509"/>
      <c r="N10" s="482"/>
      <c r="O10" s="484"/>
      <c r="P10" s="492"/>
      <c r="Q10" s="487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511"/>
      <c r="C11" s="512"/>
      <c r="D11" s="513"/>
      <c r="E11" s="514"/>
      <c r="F11" s="515"/>
      <c r="G11" s="512"/>
      <c r="H11" s="516" t="s">
        <v>53</v>
      </c>
      <c r="I11" s="517">
        <v>0</v>
      </c>
      <c r="J11" s="515"/>
      <c r="K11" s="518"/>
      <c r="L11" s="516" t="s">
        <v>53</v>
      </c>
      <c r="M11" s="518">
        <v>0</v>
      </c>
      <c r="N11" s="516" t="s">
        <v>53</v>
      </c>
      <c r="O11" s="517">
        <v>0.4</v>
      </c>
      <c r="P11" s="515" t="s">
        <v>54</v>
      </c>
      <c r="Q11" s="519">
        <v>0.7</v>
      </c>
      <c r="R11" s="92" t="s">
        <v>447</v>
      </c>
      <c r="S11" s="474" t="s">
        <v>518</v>
      </c>
      <c r="T11" s="481" t="s">
        <v>322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438" t="s">
        <v>447</v>
      </c>
      <c r="C12" s="601" t="s">
        <v>213</v>
      </c>
      <c r="D12" s="397" t="s">
        <v>71</v>
      </c>
      <c r="E12" s="601" t="s">
        <v>203</v>
      </c>
      <c r="F12" s="438" t="s">
        <v>327</v>
      </c>
      <c r="G12" s="602" t="s">
        <v>213</v>
      </c>
      <c r="H12" s="397" t="s">
        <v>62</v>
      </c>
      <c r="I12" s="601" t="s">
        <v>213</v>
      </c>
      <c r="J12" s="397" t="s">
        <v>502</v>
      </c>
      <c r="K12" s="602" t="s">
        <v>213</v>
      </c>
      <c r="L12" s="397" t="s">
        <v>219</v>
      </c>
      <c r="M12" s="602" t="s">
        <v>213</v>
      </c>
      <c r="N12" s="97" t="s">
        <v>64</v>
      </c>
      <c r="O12" s="602" t="s">
        <v>213</v>
      </c>
      <c r="P12" s="442" t="s">
        <v>445</v>
      </c>
      <c r="Q12" s="603" t="s">
        <v>213</v>
      </c>
      <c r="R12" s="474" t="s">
        <v>442</v>
      </c>
      <c r="S12" s="474" t="s">
        <v>519</v>
      </c>
      <c r="T12" s="47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606" t="s">
        <v>55</v>
      </c>
      <c r="C13" s="604" t="s">
        <v>522</v>
      </c>
      <c r="D13" s="444" t="s">
        <v>67</v>
      </c>
      <c r="E13" s="604" t="s">
        <v>261</v>
      </c>
      <c r="F13" s="606"/>
      <c r="G13" s="607"/>
      <c r="H13" s="397" t="s">
        <v>525</v>
      </c>
      <c r="I13" s="604" t="s">
        <v>528</v>
      </c>
      <c r="J13" s="397" t="s">
        <v>526</v>
      </c>
      <c r="K13" s="607" t="s">
        <v>527</v>
      </c>
      <c r="L13" s="444" t="s">
        <v>67</v>
      </c>
      <c r="M13" s="604" t="s">
        <v>74</v>
      </c>
      <c r="N13" s="397" t="s">
        <v>526</v>
      </c>
      <c r="O13" s="604" t="s">
        <v>261</v>
      </c>
      <c r="P13" s="397" t="s">
        <v>530</v>
      </c>
      <c r="Q13" s="602" t="s">
        <v>531</v>
      </c>
      <c r="R13" s="472" t="s">
        <v>326</v>
      </c>
      <c r="S13" s="474" t="s">
        <v>319</v>
      </c>
      <c r="T13" s="55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12.5" customHeight="1">
      <c r="A14" s="96"/>
      <c r="B14" s="397"/>
      <c r="C14" s="604"/>
      <c r="D14" s="606" t="s">
        <v>189</v>
      </c>
      <c r="E14" s="604" t="s">
        <v>36</v>
      </c>
      <c r="F14" s="444"/>
      <c r="G14" s="609"/>
      <c r="H14" s="397"/>
      <c r="I14" s="604"/>
      <c r="J14" s="606"/>
      <c r="K14" s="607"/>
      <c r="L14" s="397"/>
      <c r="M14" s="607"/>
      <c r="N14" s="606"/>
      <c r="O14" s="604"/>
      <c r="P14" s="444" t="s">
        <v>67</v>
      </c>
      <c r="Q14" s="604" t="s">
        <v>531</v>
      </c>
      <c r="R14" s="472" t="s">
        <v>331</v>
      </c>
      <c r="S14" s="474" t="s">
        <v>356</v>
      </c>
      <c r="T14" s="55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14" customHeight="1">
      <c r="A15" s="40"/>
      <c r="B15" s="535"/>
      <c r="C15" s="537"/>
      <c r="D15" s="538"/>
      <c r="E15" s="528"/>
      <c r="F15" s="530"/>
      <c r="G15" s="528"/>
      <c r="H15" s="539"/>
      <c r="I15" s="537"/>
      <c r="J15" s="46"/>
      <c r="L15" s="506"/>
      <c r="M15" s="590"/>
      <c r="N15" s="535"/>
      <c r="O15" s="590"/>
      <c r="P15" s="506"/>
      <c r="Q15" s="524"/>
      <c r="R15" s="472" t="s">
        <v>321</v>
      </c>
      <c r="S15" s="474" t="s">
        <v>484</v>
      </c>
      <c r="T15" s="55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71"/>
      <c r="C16" s="485"/>
      <c r="D16" s="577" t="s">
        <v>193</v>
      </c>
      <c r="E16" s="573" t="s">
        <v>520</v>
      </c>
      <c r="F16" s="571"/>
      <c r="G16" s="485"/>
      <c r="H16" s="574"/>
      <c r="I16" s="485"/>
      <c r="J16" s="525"/>
      <c r="K16" s="575"/>
      <c r="L16" s="576"/>
      <c r="M16" s="575"/>
      <c r="N16" s="571"/>
      <c r="O16" s="591"/>
      <c r="P16" s="571"/>
      <c r="Q16" s="540"/>
      <c r="R16" s="471" t="s">
        <v>445</v>
      </c>
      <c r="S16" s="599" t="s">
        <v>71</v>
      </c>
      <c r="T16" s="55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532"/>
      <c r="C17" s="541"/>
      <c r="D17" s="542" t="s">
        <v>249</v>
      </c>
      <c r="E17" s="543" t="s">
        <v>74</v>
      </c>
      <c r="F17" s="577" t="s">
        <v>524</v>
      </c>
      <c r="G17" s="544" t="s">
        <v>78</v>
      </c>
      <c r="H17" s="545"/>
      <c r="I17" s="546"/>
      <c r="J17" s="482"/>
      <c r="K17" s="484"/>
      <c r="L17" s="600"/>
      <c r="M17" s="546"/>
      <c r="N17" s="610" t="s">
        <v>521</v>
      </c>
      <c r="O17" s="546" t="s">
        <v>522</v>
      </c>
      <c r="P17" s="547" t="s">
        <v>54</v>
      </c>
      <c r="Q17" s="548">
        <v>0.4</v>
      </c>
      <c r="R17" s="678" t="s">
        <v>517</v>
      </c>
      <c r="S17" s="679"/>
      <c r="T17" s="680"/>
      <c r="U17" s="681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549">
        <f>B51</f>
        <v>1.3295165394402031</v>
      </c>
      <c r="C18" s="550"/>
      <c r="D18" s="549">
        <f>D51</f>
        <v>1.5954198473282439</v>
      </c>
      <c r="E18" s="551"/>
      <c r="F18" s="549">
        <f>F51</f>
        <v>1.0636132315521627</v>
      </c>
      <c r="G18" s="550"/>
      <c r="H18" s="549">
        <f>H51</f>
        <v>1.4624681933842236</v>
      </c>
      <c r="I18" s="550"/>
      <c r="J18" s="552">
        <f>J51</f>
        <v>1.3295165394402031</v>
      </c>
      <c r="K18" s="550"/>
      <c r="L18" s="552">
        <f>L51</f>
        <v>1.3295165394402031</v>
      </c>
      <c r="M18" s="550"/>
      <c r="N18" s="549">
        <f>N51</f>
        <v>1.3826972010178116</v>
      </c>
      <c r="O18" s="551"/>
      <c r="P18" s="553">
        <f>P51</f>
        <v>0.9572519083969464</v>
      </c>
      <c r="Q18" s="551">
        <f>P18+Q17</f>
        <v>1.3572519083969463</v>
      </c>
      <c r="R18" s="682"/>
      <c r="S18" s="683"/>
      <c r="T18" s="683"/>
      <c r="U18" s="684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65"/>
      <c r="C19" s="566"/>
      <c r="D19" s="565" t="s">
        <v>534</v>
      </c>
      <c r="E19" s="566" t="s">
        <v>537</v>
      </c>
      <c r="F19" s="565"/>
      <c r="G19" s="560"/>
      <c r="H19" s="565" t="s">
        <v>532</v>
      </c>
      <c r="I19" s="566" t="s">
        <v>533</v>
      </c>
      <c r="J19" s="565" t="s">
        <v>419</v>
      </c>
      <c r="K19" s="566" t="s">
        <v>536</v>
      </c>
      <c r="L19" s="561" t="s">
        <v>373</v>
      </c>
      <c r="M19" s="562" t="s">
        <v>535</v>
      </c>
      <c r="N19" s="565" t="s">
        <v>349</v>
      </c>
      <c r="O19" s="566" t="s">
        <v>512</v>
      </c>
      <c r="P19" s="565"/>
      <c r="Q19" s="566"/>
      <c r="R19" s="685" t="s">
        <v>90</v>
      </c>
      <c r="S19" s="686"/>
      <c r="T19" s="686"/>
      <c r="U19" s="687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59"/>
      <c r="C20" s="559"/>
      <c r="D20" s="558"/>
      <c r="E20" s="559"/>
      <c r="F20" s="563"/>
      <c r="G20" s="562"/>
      <c r="H20" s="564"/>
      <c r="I20" s="559"/>
      <c r="J20" s="558"/>
      <c r="K20" s="559"/>
      <c r="L20" s="558"/>
      <c r="M20" s="559"/>
      <c r="N20" s="558"/>
      <c r="O20" s="559"/>
      <c r="P20" s="558"/>
      <c r="Q20" s="559"/>
      <c r="R20" s="163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159"/>
      <c r="I21" s="107"/>
      <c r="J21" s="24"/>
      <c r="K21" s="160"/>
      <c r="L21" s="56"/>
      <c r="M21" s="107"/>
      <c r="N21" s="24"/>
      <c r="O21" s="107"/>
      <c r="P21" s="24"/>
      <c r="Q21" s="20"/>
      <c r="R21" s="168"/>
      <c r="S21" s="691" t="s">
        <v>93</v>
      </c>
      <c r="T21" s="691"/>
      <c r="U21" s="692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0">
      <c r="A22" s="19"/>
      <c r="D22" s="46"/>
      <c r="F22" s="170"/>
      <c r="G22" s="171"/>
      <c r="H22" s="24"/>
      <c r="I22" s="172"/>
      <c r="J22" s="46"/>
      <c r="L22" s="173" t="s">
        <v>117</v>
      </c>
      <c r="M22" s="172"/>
      <c r="N22" s="174"/>
      <c r="O22" s="175"/>
      <c r="P22" s="176"/>
      <c r="Q22" s="177"/>
      <c r="R22" s="693"/>
      <c r="S22" s="694"/>
      <c r="T22" s="694"/>
      <c r="U22" s="695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96"/>
      <c r="S23" s="697"/>
      <c r="T23" s="697"/>
      <c r="U23" s="698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-7.6972010178117216</v>
      </c>
      <c r="C30" s="218"/>
      <c r="D30" s="219">
        <f>D44</f>
        <v>6.7633587786259426</v>
      </c>
      <c r="E30" s="220"/>
      <c r="F30" s="221">
        <f>F44</f>
        <v>-20.157760814249372</v>
      </c>
      <c r="G30" s="221"/>
      <c r="H30" s="217">
        <f>H44</f>
        <v>9.0330788804071176</v>
      </c>
      <c r="I30" s="218"/>
      <c r="J30" s="217">
        <f>J44</f>
        <v>8.3027989821882784</v>
      </c>
      <c r="K30" s="222"/>
      <c r="L30" s="217">
        <f>L44</f>
        <v>4.3027989821882784</v>
      </c>
      <c r="M30" s="222"/>
      <c r="N30" s="217">
        <f>N44</f>
        <v>4.9949109414758226</v>
      </c>
      <c r="O30" s="222"/>
      <c r="P30" s="152">
        <f>P44</f>
        <v>-5.5419847328244316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24" t="s">
        <v>196</v>
      </c>
      <c r="C31" s="445" t="s">
        <v>99</v>
      </c>
      <c r="D31" s="441" t="s">
        <v>23</v>
      </c>
      <c r="E31" s="445" t="s">
        <v>401</v>
      </c>
      <c r="F31" s="419" t="s">
        <v>515</v>
      </c>
      <c r="G31" s="464" t="s">
        <v>516</v>
      </c>
      <c r="H31" s="486" t="s">
        <v>47</v>
      </c>
      <c r="I31" s="464" t="s">
        <v>242</v>
      </c>
      <c r="J31" s="24"/>
      <c r="K31" s="445"/>
      <c r="L31" s="456" t="s">
        <v>27</v>
      </c>
      <c r="M31" s="464" t="s">
        <v>99</v>
      </c>
      <c r="N31" s="457"/>
      <c r="O31" s="445"/>
      <c r="P31" s="24" t="s">
        <v>496</v>
      </c>
      <c r="Q31" s="448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24"/>
      <c r="C32" s="107"/>
      <c r="D32" s="24"/>
      <c r="E32" s="229"/>
      <c r="F32" s="457"/>
      <c r="G32" s="229"/>
      <c r="H32" s="24"/>
      <c r="I32" s="445"/>
      <c r="J32" s="24"/>
      <c r="K32" s="229"/>
      <c r="L32" s="441"/>
      <c r="M32" s="229"/>
      <c r="N32" s="24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241"/>
      <c r="C33" s="107"/>
      <c r="D33" s="242"/>
      <c r="E33" s="480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197</v>
      </c>
      <c r="T33" s="232" t="s">
        <v>109</v>
      </c>
      <c r="U33" s="247" t="s">
        <v>110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669"/>
      <c r="W40" s="670"/>
      <c r="X40" s="670"/>
      <c r="Y40" s="671"/>
      <c r="Z40" s="302"/>
      <c r="AA40" s="303"/>
    </row>
    <row r="41" spans="1:33" ht="73" thickBot="1">
      <c r="A41" s="304" t="s">
        <v>136</v>
      </c>
      <c r="B41" s="305">
        <f>SUM(B43:T43)</f>
        <v>19.650000000000002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672"/>
      <c r="W41" s="673"/>
      <c r="X41" s="673"/>
      <c r="Y41" s="674"/>
      <c r="Z41" s="302"/>
      <c r="AA41" s="303"/>
    </row>
    <row r="42" spans="1:33" ht="72">
      <c r="A42" s="304" t="s">
        <v>137</v>
      </c>
      <c r="B42" s="294">
        <f>B40/B41</f>
        <v>26.921119592875314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2.5</v>
      </c>
      <c r="C43" s="295"/>
      <c r="D43" s="296">
        <f>E9</f>
        <v>3</v>
      </c>
      <c r="E43" s="297"/>
      <c r="F43" s="296">
        <f>G9</f>
        <v>2</v>
      </c>
      <c r="G43" s="297"/>
      <c r="H43" s="278">
        <f>I9</f>
        <v>2.75</v>
      </c>
      <c r="I43" s="299"/>
      <c r="J43" s="278">
        <f>K9</f>
        <v>2.5</v>
      </c>
      <c r="K43" s="299"/>
      <c r="L43" s="278">
        <f>M9</f>
        <v>2.5</v>
      </c>
      <c r="M43" s="299"/>
      <c r="N43" s="278">
        <f>O9</f>
        <v>2.6</v>
      </c>
      <c r="O43" s="299"/>
      <c r="P43" s="311">
        <f>Q9</f>
        <v>1.8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-7.6972010178117216</v>
      </c>
      <c r="C44" s="295"/>
      <c r="D44" s="318">
        <f>B40/B41*D43-D45</f>
        <v>6.7633587786259426</v>
      </c>
      <c r="E44" s="319"/>
      <c r="F44" s="318">
        <f>B40/B41*F43-F45</f>
        <v>-20.157760814249372</v>
      </c>
      <c r="G44" s="320"/>
      <c r="H44" s="321">
        <f>B40/B41*H43-H45</f>
        <v>9.0330788804071176</v>
      </c>
      <c r="I44" s="322"/>
      <c r="J44" s="321">
        <f>B40/B41*J43-J45</f>
        <v>8.3027989821882784</v>
      </c>
      <c r="K44" s="322"/>
      <c r="L44" s="321">
        <f>B40/B41*L43-L45</f>
        <v>4.3027989821882784</v>
      </c>
      <c r="M44" s="322"/>
      <c r="N44" s="321">
        <f>B40/B41*N43-N45</f>
        <v>4.9949109414758226</v>
      </c>
      <c r="O44" s="322"/>
      <c r="P44" s="311">
        <f>B40/B41*P43-P45</f>
        <v>-5.5419847328244316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313</v>
      </c>
      <c r="K46" s="348">
        <v>59</v>
      </c>
      <c r="L46" s="349" t="s">
        <v>312</v>
      </c>
      <c r="M46" s="348">
        <v>63</v>
      </c>
      <c r="N46" s="349" t="s">
        <v>311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10.45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50.622009569377994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67.302798982188278</v>
      </c>
      <c r="C50" s="354"/>
      <c r="D50" s="354">
        <f>B42*D43</f>
        <v>80.763358778625943</v>
      </c>
      <c r="E50" s="354"/>
      <c r="F50" s="354">
        <f>B42*F43</f>
        <v>53.842239185750628</v>
      </c>
      <c r="G50" s="354"/>
      <c r="H50" s="359">
        <f>B42*H43</f>
        <v>74.033078880407118</v>
      </c>
      <c r="I50" s="354"/>
      <c r="J50" s="354">
        <f>B42*J43</f>
        <v>67.302798982188278</v>
      </c>
      <c r="K50" s="354"/>
      <c r="L50" s="354">
        <f>B42*L43</f>
        <v>67.302798982188278</v>
      </c>
      <c r="M50" s="354"/>
      <c r="N50" s="359">
        <f>B42*N43</f>
        <v>69.994910941475823</v>
      </c>
      <c r="O50" s="354"/>
      <c r="P50" s="354">
        <f>B42*P43</f>
        <v>48.458015267175568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1.3295165394402031</v>
      </c>
      <c r="C51" s="354"/>
      <c r="D51" s="354">
        <f>D50/B49</f>
        <v>1.5954198473282439</v>
      </c>
      <c r="E51" s="354"/>
      <c r="F51" s="354">
        <f>F50/B49</f>
        <v>1.0636132315521627</v>
      </c>
      <c r="G51" s="354"/>
      <c r="H51" s="354">
        <f>H50/B49</f>
        <v>1.4624681933842236</v>
      </c>
      <c r="I51" s="354"/>
      <c r="J51" s="354">
        <f>J50/B49</f>
        <v>1.3295165394402031</v>
      </c>
      <c r="K51" s="354"/>
      <c r="L51" s="354">
        <f>L50/B49</f>
        <v>1.3295165394402031</v>
      </c>
      <c r="M51" s="354"/>
      <c r="N51" s="359">
        <f>N50/B49</f>
        <v>1.3826972010178116</v>
      </c>
      <c r="O51" s="354"/>
      <c r="P51" s="354">
        <f>P50/B49</f>
        <v>0.9572519083969464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324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325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0.4</v>
      </c>
      <c r="F69" s="376">
        <f>Q17</f>
        <v>0.4</v>
      </c>
      <c r="G69" s="380">
        <v>2</v>
      </c>
      <c r="H69" s="376">
        <v>0</v>
      </c>
      <c r="I69" s="377">
        <v>0</v>
      </c>
      <c r="J69" s="376">
        <f>SUM(C69:H69)</f>
        <v>3.55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J101"/>
  <sheetViews>
    <sheetView zoomScale="40" zoomScaleNormal="40" workbookViewId="0">
      <selection activeCell="L46" sqref="L46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45978</v>
      </c>
      <c r="E1" s="3" t="str">
        <f>TEXT(D1, "dddd")</f>
        <v>星期一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82" t="s">
        <v>33</v>
      </c>
      <c r="C3" s="483"/>
      <c r="D3" s="482"/>
      <c r="E3" s="568"/>
      <c r="F3" s="482" t="s">
        <v>299</v>
      </c>
      <c r="G3" s="485"/>
      <c r="H3" s="486" t="s">
        <v>538</v>
      </c>
      <c r="I3" s="485"/>
      <c r="J3" s="482" t="s">
        <v>297</v>
      </c>
      <c r="K3" s="485"/>
      <c r="L3" s="482" t="s">
        <v>301</v>
      </c>
      <c r="M3" s="485"/>
      <c r="N3" s="482" t="s">
        <v>15</v>
      </c>
      <c r="O3" s="485"/>
      <c r="P3" s="482" t="s">
        <v>28</v>
      </c>
      <c r="Q3" s="483"/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82" t="s">
        <v>12</v>
      </c>
      <c r="C4" s="483" t="s">
        <v>36</v>
      </c>
      <c r="D4" s="482" t="s">
        <v>25</v>
      </c>
      <c r="E4" s="485"/>
      <c r="F4" s="482" t="s">
        <v>300</v>
      </c>
      <c r="G4" s="485"/>
      <c r="H4" s="482" t="s">
        <v>37</v>
      </c>
      <c r="I4" s="485"/>
      <c r="J4" s="482" t="s">
        <v>26</v>
      </c>
      <c r="K4" s="488"/>
      <c r="L4" s="482" t="s">
        <v>27</v>
      </c>
      <c r="M4" s="485"/>
      <c r="N4" s="482" t="s">
        <v>38</v>
      </c>
      <c r="O4" s="485"/>
      <c r="P4" s="482" t="s">
        <v>50</v>
      </c>
      <c r="Q4" s="485"/>
      <c r="R4" s="33" t="s">
        <v>305</v>
      </c>
      <c r="S4" s="34"/>
      <c r="T4" s="34" t="s">
        <v>423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.75" customHeight="1">
      <c r="A5" s="40"/>
      <c r="B5" s="482" t="s">
        <v>268</v>
      </c>
      <c r="C5" s="483" t="s">
        <v>39</v>
      </c>
      <c r="D5" s="482" t="s">
        <v>34</v>
      </c>
      <c r="E5" s="483"/>
      <c r="F5" s="46"/>
      <c r="G5" s="485"/>
      <c r="H5" s="482" t="s">
        <v>308</v>
      </c>
      <c r="I5" s="484"/>
      <c r="J5" s="46"/>
      <c r="K5" s="485"/>
      <c r="L5" s="489" t="s">
        <v>315</v>
      </c>
      <c r="M5" s="485"/>
      <c r="N5" s="482" t="s">
        <v>302</v>
      </c>
      <c r="O5" s="485"/>
      <c r="P5" s="46"/>
      <c r="Q5" s="484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82"/>
      <c r="C6" s="484"/>
      <c r="D6" s="482"/>
      <c r="E6" s="485"/>
      <c r="F6" s="482"/>
      <c r="G6" s="485"/>
      <c r="H6" s="482"/>
      <c r="I6" s="484"/>
      <c r="J6" s="482"/>
      <c r="K6" s="485"/>
      <c r="L6" s="482"/>
      <c r="M6" s="483"/>
      <c r="N6" s="482"/>
      <c r="O6" s="484"/>
      <c r="P6" s="482"/>
      <c r="Q6" s="485"/>
      <c r="R6" s="47" t="s">
        <v>539</v>
      </c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82"/>
      <c r="C7" s="485"/>
      <c r="D7" s="482"/>
      <c r="E7" s="485"/>
      <c r="F7" s="482"/>
      <c r="G7" s="487"/>
      <c r="H7" s="482"/>
      <c r="I7" s="485"/>
      <c r="J7" s="482"/>
      <c r="K7" s="483"/>
      <c r="L7" s="490"/>
      <c r="M7" s="483"/>
      <c r="N7" s="482"/>
      <c r="O7" s="485"/>
      <c r="P7" s="491"/>
      <c r="Q7" s="487"/>
      <c r="R7" s="20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92"/>
      <c r="C8" s="493"/>
      <c r="D8" s="492"/>
      <c r="E8" s="485"/>
      <c r="F8" s="482"/>
      <c r="G8" s="484"/>
      <c r="H8" s="482"/>
      <c r="I8" s="484"/>
      <c r="J8" s="492"/>
      <c r="K8" s="494" t="s">
        <v>45</v>
      </c>
      <c r="L8" s="495"/>
      <c r="M8" s="494"/>
      <c r="N8" s="482"/>
      <c r="O8" s="485"/>
      <c r="P8" s="492"/>
      <c r="Q8" s="496"/>
      <c r="R8" s="403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97"/>
      <c r="C9" s="498">
        <v>2</v>
      </c>
      <c r="D9" s="499"/>
      <c r="E9" s="498">
        <v>2</v>
      </c>
      <c r="F9" s="499"/>
      <c r="G9" s="498">
        <v>2</v>
      </c>
      <c r="H9" s="500">
        <v>3</v>
      </c>
      <c r="I9" s="498">
        <f>H9-I11</f>
        <v>3</v>
      </c>
      <c r="J9" s="499"/>
      <c r="K9" s="498">
        <v>2</v>
      </c>
      <c r="L9" s="499">
        <v>3</v>
      </c>
      <c r="M9" s="498">
        <f>L9-M11</f>
        <v>3</v>
      </c>
      <c r="N9" s="501">
        <v>3</v>
      </c>
      <c r="O9" s="498">
        <f>N9-O11</f>
        <v>2.6</v>
      </c>
      <c r="P9" s="492">
        <v>2</v>
      </c>
      <c r="Q9" s="502">
        <f>P9-Q11</f>
        <v>1.3</v>
      </c>
      <c r="R9" s="40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503"/>
      <c r="C10" s="504"/>
      <c r="D10" s="501"/>
      <c r="E10" s="505"/>
      <c r="F10" s="506"/>
      <c r="G10" s="507"/>
      <c r="H10" s="508"/>
      <c r="I10" s="505"/>
      <c r="J10" s="503"/>
      <c r="K10" s="509"/>
      <c r="L10" s="510"/>
      <c r="M10" s="509"/>
      <c r="N10" s="482"/>
      <c r="O10" s="484"/>
      <c r="P10" s="492"/>
      <c r="Q10" s="487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511"/>
      <c r="C11" s="512"/>
      <c r="D11" s="513"/>
      <c r="E11" s="514"/>
      <c r="F11" s="515"/>
      <c r="G11" s="512"/>
      <c r="H11" s="516" t="s">
        <v>53</v>
      </c>
      <c r="I11" s="517">
        <v>0</v>
      </c>
      <c r="J11" s="515"/>
      <c r="K11" s="518"/>
      <c r="L11" s="516" t="s">
        <v>53</v>
      </c>
      <c r="M11" s="518">
        <v>0</v>
      </c>
      <c r="N11" s="516" t="s">
        <v>53</v>
      </c>
      <c r="O11" s="517">
        <v>0.4</v>
      </c>
      <c r="P11" s="515" t="s">
        <v>54</v>
      </c>
      <c r="Q11" s="519">
        <v>0.7</v>
      </c>
      <c r="R11" s="92" t="s">
        <v>447</v>
      </c>
      <c r="S11" s="474" t="s">
        <v>542</v>
      </c>
      <c r="T11" s="474" t="s">
        <v>551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438" t="s">
        <v>447</v>
      </c>
      <c r="C12" s="601" t="s">
        <v>213</v>
      </c>
      <c r="D12" s="611" t="s">
        <v>190</v>
      </c>
      <c r="E12" s="601" t="s">
        <v>529</v>
      </c>
      <c r="F12" s="438" t="s">
        <v>327</v>
      </c>
      <c r="G12" s="602" t="s">
        <v>213</v>
      </c>
      <c r="H12" s="397" t="s">
        <v>62</v>
      </c>
      <c r="I12" s="601" t="s">
        <v>213</v>
      </c>
      <c r="J12" s="397" t="s">
        <v>502</v>
      </c>
      <c r="K12" s="602" t="s">
        <v>213</v>
      </c>
      <c r="L12" s="397" t="s">
        <v>219</v>
      </c>
      <c r="M12" s="602" t="s">
        <v>213</v>
      </c>
      <c r="N12" s="99" t="s">
        <v>64</v>
      </c>
      <c r="O12" s="602" t="s">
        <v>39</v>
      </c>
      <c r="P12" s="608" t="s">
        <v>67</v>
      </c>
      <c r="Q12" s="603" t="s">
        <v>213</v>
      </c>
      <c r="R12" s="474" t="s">
        <v>317</v>
      </c>
      <c r="S12" s="474" t="s">
        <v>544</v>
      </c>
      <c r="T12" s="47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606"/>
      <c r="C13" s="604"/>
      <c r="D13" s="397"/>
      <c r="E13" s="604"/>
      <c r="F13" s="24"/>
      <c r="G13" s="607"/>
      <c r="H13" s="397" t="s">
        <v>550</v>
      </c>
      <c r="I13" s="604" t="s">
        <v>39</v>
      </c>
      <c r="J13" s="397"/>
      <c r="K13" s="607"/>
      <c r="L13" s="615" t="s">
        <v>66</v>
      </c>
      <c r="M13" s="616" t="s">
        <v>194</v>
      </c>
      <c r="N13" s="24" t="s">
        <v>549</v>
      </c>
      <c r="O13" s="49" t="s">
        <v>191</v>
      </c>
      <c r="P13" s="397" t="s">
        <v>550</v>
      </c>
      <c r="Q13" s="604" t="s">
        <v>72</v>
      </c>
      <c r="R13" s="472" t="s">
        <v>326</v>
      </c>
      <c r="S13" s="474" t="s">
        <v>319</v>
      </c>
      <c r="T13" s="614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12.5" customHeight="1">
      <c r="A14" s="96"/>
      <c r="B14" s="397"/>
      <c r="C14" s="604"/>
      <c r="D14" s="608"/>
      <c r="E14" s="607"/>
      <c r="F14" s="606"/>
      <c r="G14" s="609"/>
      <c r="H14" s="397"/>
      <c r="I14" s="604"/>
      <c r="J14" s="606"/>
      <c r="K14" s="607"/>
      <c r="L14" s="46"/>
      <c r="N14" s="617" t="s">
        <v>55</v>
      </c>
      <c r="O14" s="618" t="s">
        <v>78</v>
      </c>
      <c r="P14" s="397"/>
      <c r="Q14" s="604"/>
      <c r="R14" s="472" t="s">
        <v>331</v>
      </c>
      <c r="S14" s="474" t="s">
        <v>356</v>
      </c>
      <c r="T14" s="614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14" customHeight="1">
      <c r="A15" s="40"/>
      <c r="B15" s="535"/>
      <c r="C15" s="537"/>
      <c r="D15" s="538"/>
      <c r="E15" s="528"/>
      <c r="F15" s="530"/>
      <c r="G15" s="528"/>
      <c r="H15" s="539"/>
      <c r="I15" s="537"/>
      <c r="J15" s="46"/>
      <c r="L15" s="24"/>
      <c r="M15" s="590"/>
      <c r="N15" s="535"/>
      <c r="O15" s="590"/>
      <c r="P15" s="506"/>
      <c r="Q15" s="524"/>
      <c r="R15" s="472" t="s">
        <v>543</v>
      </c>
      <c r="S15" s="474" t="s">
        <v>484</v>
      </c>
      <c r="T15" s="614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71"/>
      <c r="C16" s="485"/>
      <c r="D16" s="577"/>
      <c r="E16" s="573"/>
      <c r="F16" s="571"/>
      <c r="G16" s="485"/>
      <c r="H16" s="574"/>
      <c r="I16" s="485"/>
      <c r="J16" s="525"/>
      <c r="K16" s="575"/>
      <c r="L16" s="576"/>
      <c r="M16" s="575"/>
      <c r="N16" s="571"/>
      <c r="O16" s="591"/>
      <c r="P16" s="571"/>
      <c r="Q16" s="540"/>
      <c r="R16" s="471" t="s">
        <v>552</v>
      </c>
      <c r="S16" s="599" t="s">
        <v>541</v>
      </c>
      <c r="T16" s="614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532"/>
      <c r="C17" s="541"/>
      <c r="D17" s="542" t="s">
        <v>249</v>
      </c>
      <c r="E17" s="543" t="s">
        <v>74</v>
      </c>
      <c r="F17" s="577" t="s">
        <v>249</v>
      </c>
      <c r="G17" s="544" t="s">
        <v>78</v>
      </c>
      <c r="H17" s="545"/>
      <c r="I17" s="546"/>
      <c r="J17" s="482"/>
      <c r="K17" s="484"/>
      <c r="L17" s="600"/>
      <c r="M17" s="546"/>
      <c r="N17" s="610" t="s">
        <v>382</v>
      </c>
      <c r="O17" s="546" t="s">
        <v>74</v>
      </c>
      <c r="P17" s="547" t="s">
        <v>54</v>
      </c>
      <c r="Q17" s="548">
        <v>0.4</v>
      </c>
      <c r="R17" s="678" t="s">
        <v>540</v>
      </c>
      <c r="S17" s="679"/>
      <c r="T17" s="680"/>
      <c r="U17" s="681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549">
        <f>B51</f>
        <v>1.0446927374301676</v>
      </c>
      <c r="C18" s="550"/>
      <c r="D18" s="549">
        <f>D51</f>
        <v>1.0446927374301676</v>
      </c>
      <c r="E18" s="551"/>
      <c r="F18" s="549">
        <f>F51</f>
        <v>1.0446927374301676</v>
      </c>
      <c r="G18" s="550"/>
      <c r="H18" s="549">
        <f>H51</f>
        <v>1.5670391061452511</v>
      </c>
      <c r="I18" s="550"/>
      <c r="J18" s="552">
        <f>J51</f>
        <v>1.0446927374301676</v>
      </c>
      <c r="K18" s="550"/>
      <c r="L18" s="552">
        <f>L51</f>
        <v>1.5670391061452511</v>
      </c>
      <c r="M18" s="550"/>
      <c r="N18" s="549">
        <f>N51</f>
        <v>1.3581005586592176</v>
      </c>
      <c r="O18" s="551"/>
      <c r="P18" s="553">
        <f>P51</f>
        <v>0.67905027932960882</v>
      </c>
      <c r="Q18" s="551">
        <f>P18+Q17</f>
        <v>1.0790502793296088</v>
      </c>
      <c r="R18" s="682"/>
      <c r="S18" s="683"/>
      <c r="T18" s="683"/>
      <c r="U18" s="684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65"/>
      <c r="C19" s="566"/>
      <c r="D19" s="565"/>
      <c r="E19" s="566"/>
      <c r="F19" s="565"/>
      <c r="G19" s="560"/>
      <c r="H19" s="565" t="s">
        <v>478</v>
      </c>
      <c r="I19" s="566" t="s">
        <v>558</v>
      </c>
      <c r="J19" s="565"/>
      <c r="K19" s="567"/>
      <c r="L19" s="561" t="s">
        <v>349</v>
      </c>
      <c r="M19" s="562" t="s">
        <v>555</v>
      </c>
      <c r="N19" s="565" t="s">
        <v>471</v>
      </c>
      <c r="O19" s="566" t="s">
        <v>554</v>
      </c>
      <c r="P19" s="565"/>
      <c r="Q19" s="566"/>
      <c r="R19" s="685" t="s">
        <v>90</v>
      </c>
      <c r="S19" s="686"/>
      <c r="T19" s="686"/>
      <c r="U19" s="687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59"/>
      <c r="C20" s="559"/>
      <c r="D20" s="558"/>
      <c r="E20" s="559"/>
      <c r="F20" s="563"/>
      <c r="G20" s="562"/>
      <c r="H20" s="564" t="s">
        <v>415</v>
      </c>
      <c r="I20" s="559" t="s">
        <v>553</v>
      </c>
      <c r="J20" s="558"/>
      <c r="K20" s="559"/>
      <c r="L20" s="558" t="s">
        <v>373</v>
      </c>
      <c r="M20" s="559" t="s">
        <v>556</v>
      </c>
      <c r="N20" s="558" t="s">
        <v>372</v>
      </c>
      <c r="O20" s="559" t="s">
        <v>557</v>
      </c>
      <c r="P20" s="558"/>
      <c r="Q20" s="559"/>
      <c r="R20" s="163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65" t="s">
        <v>419</v>
      </c>
      <c r="I21" s="107" t="s">
        <v>559</v>
      </c>
      <c r="J21" s="24"/>
      <c r="K21" s="160"/>
      <c r="L21" s="56"/>
      <c r="M21" s="107"/>
      <c r="N21" s="24"/>
      <c r="O21" s="107"/>
      <c r="P21" s="24"/>
      <c r="Q21" s="20"/>
      <c r="R21" s="168"/>
      <c r="S21" s="691" t="s">
        <v>93</v>
      </c>
      <c r="T21" s="691"/>
      <c r="U21" s="692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0">
      <c r="A22" s="19"/>
      <c r="D22" s="46"/>
      <c r="F22" s="170"/>
      <c r="G22" s="171"/>
      <c r="H22" s="24"/>
      <c r="I22" s="172"/>
      <c r="J22" s="46"/>
      <c r="L22" s="173" t="s">
        <v>117</v>
      </c>
      <c r="M22" s="172"/>
      <c r="N22" s="174"/>
      <c r="O22" s="175"/>
      <c r="P22" s="176"/>
      <c r="Q22" s="177"/>
      <c r="R22" s="693"/>
      <c r="S22" s="694"/>
      <c r="T22" s="694"/>
      <c r="U22" s="695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96"/>
      <c r="S23" s="697"/>
      <c r="T23" s="697"/>
      <c r="U23" s="698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-15.89385474860336</v>
      </c>
      <c r="C30" s="218"/>
      <c r="D30" s="219">
        <f>D44</f>
        <v>-14.89385474860336</v>
      </c>
      <c r="E30" s="220"/>
      <c r="F30" s="221">
        <f>F44</f>
        <v>-14.89385474860336</v>
      </c>
      <c r="G30" s="221"/>
      <c r="H30" s="217">
        <f>H44</f>
        <v>23.65921787709496</v>
      </c>
      <c r="I30" s="218"/>
      <c r="J30" s="217">
        <f>J44</f>
        <v>0.10614525139664011</v>
      </c>
      <c r="K30" s="222"/>
      <c r="L30" s="217">
        <f>L44</f>
        <v>25.65921787709496</v>
      </c>
      <c r="M30" s="222"/>
      <c r="N30" s="217">
        <f>N44</f>
        <v>11.837988826815632</v>
      </c>
      <c r="O30" s="222"/>
      <c r="P30" s="152">
        <f>P44</f>
        <v>-15.581005586592184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24" t="s">
        <v>196</v>
      </c>
      <c r="C31" s="445" t="s">
        <v>99</v>
      </c>
      <c r="D31" s="441" t="s">
        <v>23</v>
      </c>
      <c r="E31" s="445" t="s">
        <v>401</v>
      </c>
      <c r="F31" s="419" t="s">
        <v>198</v>
      </c>
      <c r="G31" s="464" t="s">
        <v>99</v>
      </c>
      <c r="H31" s="486" t="s">
        <v>47</v>
      </c>
      <c r="I31" s="464" t="s">
        <v>242</v>
      </c>
      <c r="J31" s="24" t="s">
        <v>14</v>
      </c>
      <c r="K31" s="445" t="s">
        <v>99</v>
      </c>
      <c r="L31" s="456"/>
      <c r="M31" s="464"/>
      <c r="N31" s="457"/>
      <c r="O31" s="445"/>
      <c r="P31" s="24"/>
      <c r="Q31" s="448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24"/>
      <c r="C32" s="107"/>
      <c r="D32" s="612" t="s">
        <v>545</v>
      </c>
      <c r="E32" s="229"/>
      <c r="F32" s="457"/>
      <c r="G32" s="229"/>
      <c r="H32" s="24"/>
      <c r="I32" s="445"/>
      <c r="J32" s="24"/>
      <c r="K32" s="229"/>
      <c r="L32" s="441"/>
      <c r="M32" s="229"/>
      <c r="N32" s="24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241"/>
      <c r="C33" s="107"/>
      <c r="D33" s="242" t="s">
        <v>546</v>
      </c>
      <c r="E33" s="613" t="s">
        <v>547</v>
      </c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548</v>
      </c>
      <c r="T33" s="232" t="s">
        <v>109</v>
      </c>
      <c r="U33" s="247" t="s">
        <v>337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669"/>
      <c r="W40" s="670"/>
      <c r="X40" s="670"/>
      <c r="Y40" s="671"/>
      <c r="Z40" s="302"/>
      <c r="AA40" s="303"/>
    </row>
    <row r="41" spans="1:33" ht="73" thickBot="1">
      <c r="A41" s="304" t="s">
        <v>136</v>
      </c>
      <c r="B41" s="305">
        <f>SUM(B43:T43)</f>
        <v>17.900000000000002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672"/>
      <c r="W41" s="673"/>
      <c r="X41" s="673"/>
      <c r="Y41" s="674"/>
      <c r="Z41" s="302"/>
      <c r="AA41" s="303"/>
    </row>
    <row r="42" spans="1:33" ht="72">
      <c r="A42" s="304" t="s">
        <v>137</v>
      </c>
      <c r="B42" s="294">
        <f>B40/B41</f>
        <v>29.55307262569832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2</v>
      </c>
      <c r="C43" s="295"/>
      <c r="D43" s="296">
        <f>E9</f>
        <v>2</v>
      </c>
      <c r="E43" s="297"/>
      <c r="F43" s="296">
        <f>G9</f>
        <v>2</v>
      </c>
      <c r="G43" s="297"/>
      <c r="H43" s="278">
        <f>I9</f>
        <v>3</v>
      </c>
      <c r="I43" s="299"/>
      <c r="J43" s="278">
        <f>K9</f>
        <v>2</v>
      </c>
      <c r="K43" s="299"/>
      <c r="L43" s="278">
        <f>M9</f>
        <v>3</v>
      </c>
      <c r="M43" s="299"/>
      <c r="N43" s="278">
        <f>O9</f>
        <v>2.6</v>
      </c>
      <c r="O43" s="299"/>
      <c r="P43" s="311">
        <f>Q9</f>
        <v>1.3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-15.89385474860336</v>
      </c>
      <c r="C44" s="295"/>
      <c r="D44" s="318">
        <f>B40/B41*D43-D45</f>
        <v>-14.89385474860336</v>
      </c>
      <c r="E44" s="319"/>
      <c r="F44" s="318">
        <f>B40/B41*F43-F45</f>
        <v>-14.89385474860336</v>
      </c>
      <c r="G44" s="320"/>
      <c r="H44" s="321">
        <f>B40/B41*H43-H45</f>
        <v>23.65921787709496</v>
      </c>
      <c r="I44" s="322"/>
      <c r="J44" s="321">
        <f>B40/B41*J43-J45</f>
        <v>0.10614525139664011</v>
      </c>
      <c r="K44" s="322"/>
      <c r="L44" s="321">
        <f>B40/B41*L43-L45</f>
        <v>25.65921787709496</v>
      </c>
      <c r="M44" s="322"/>
      <c r="N44" s="321">
        <f>B40/B41*N43-N45</f>
        <v>11.837988826815632</v>
      </c>
      <c r="O44" s="322"/>
      <c r="P44" s="311">
        <f>B40/B41*P43-P45</f>
        <v>-15.581005586592184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313</v>
      </c>
      <c r="K46" s="348">
        <v>59</v>
      </c>
      <c r="L46" s="349" t="s">
        <v>312</v>
      </c>
      <c r="M46" s="348">
        <v>63</v>
      </c>
      <c r="N46" s="349" t="s">
        <v>311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9.35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56.577540106951872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59.10614525139664</v>
      </c>
      <c r="C50" s="354"/>
      <c r="D50" s="354">
        <f>B42*D43</f>
        <v>59.10614525139664</v>
      </c>
      <c r="E50" s="354"/>
      <c r="F50" s="354">
        <f>B42*F43</f>
        <v>59.10614525139664</v>
      </c>
      <c r="G50" s="354"/>
      <c r="H50" s="359">
        <f>B42*H43</f>
        <v>88.65921787709496</v>
      </c>
      <c r="I50" s="354"/>
      <c r="J50" s="354">
        <f>B42*J43</f>
        <v>59.10614525139664</v>
      </c>
      <c r="K50" s="354"/>
      <c r="L50" s="354">
        <f>B42*L43</f>
        <v>88.65921787709496</v>
      </c>
      <c r="M50" s="354"/>
      <c r="N50" s="359">
        <f>B42*N43</f>
        <v>76.837988826815632</v>
      </c>
      <c r="O50" s="354"/>
      <c r="P50" s="354">
        <f>B42*P43</f>
        <v>38.418994413407816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1.0446927374301676</v>
      </c>
      <c r="C51" s="354"/>
      <c r="D51" s="354">
        <f>D50/B49</f>
        <v>1.0446927374301676</v>
      </c>
      <c r="E51" s="354"/>
      <c r="F51" s="354">
        <f>F50/B49</f>
        <v>1.0446927374301676</v>
      </c>
      <c r="G51" s="354"/>
      <c r="H51" s="354">
        <f>H50/B49</f>
        <v>1.5670391061452511</v>
      </c>
      <c r="I51" s="354"/>
      <c r="J51" s="354">
        <f>J50/B49</f>
        <v>1.0446927374301676</v>
      </c>
      <c r="K51" s="354"/>
      <c r="L51" s="354">
        <f>L50/B49</f>
        <v>1.5670391061452511</v>
      </c>
      <c r="M51" s="354"/>
      <c r="N51" s="359">
        <f>N50/B49</f>
        <v>1.3581005586592176</v>
      </c>
      <c r="O51" s="354"/>
      <c r="P51" s="354">
        <f>P50/B49</f>
        <v>0.67905027932960882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324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325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0.5</v>
      </c>
      <c r="D69" s="376" t="s">
        <v>178</v>
      </c>
      <c r="E69" s="376">
        <v>0.25</v>
      </c>
      <c r="F69" s="376">
        <f>Q17</f>
        <v>0.4</v>
      </c>
      <c r="G69" s="380">
        <v>3.5</v>
      </c>
      <c r="H69" s="376">
        <v>0</v>
      </c>
      <c r="I69" s="377">
        <v>0</v>
      </c>
      <c r="J69" s="376">
        <f>SUM(C69:H69)</f>
        <v>4.6500000000000004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J101"/>
  <sheetViews>
    <sheetView topLeftCell="A8" zoomScale="17" zoomScaleNormal="17" workbookViewId="0">
      <selection activeCell="M46" sqref="M46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45979</v>
      </c>
      <c r="E1" s="3" t="str">
        <f>TEXT(D1, "dddd")</f>
        <v>星期二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82" t="s">
        <v>33</v>
      </c>
      <c r="C3" s="483">
        <v>0.75</v>
      </c>
      <c r="D3" s="482" t="s">
        <v>25</v>
      </c>
      <c r="E3" s="568"/>
      <c r="F3" s="482" t="s">
        <v>299</v>
      </c>
      <c r="G3" s="485"/>
      <c r="H3" s="486" t="s">
        <v>538</v>
      </c>
      <c r="I3" s="485"/>
      <c r="J3" s="482" t="s">
        <v>297</v>
      </c>
      <c r="K3" s="485"/>
      <c r="L3" s="482" t="s">
        <v>301</v>
      </c>
      <c r="M3" s="485">
        <v>0.75</v>
      </c>
      <c r="N3" s="482" t="s">
        <v>15</v>
      </c>
      <c r="O3" s="485"/>
      <c r="P3" s="482" t="s">
        <v>28</v>
      </c>
      <c r="Q3" s="483"/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82" t="s">
        <v>12</v>
      </c>
      <c r="C4" s="483"/>
      <c r="D4" s="482" t="s">
        <v>34</v>
      </c>
      <c r="E4" s="485"/>
      <c r="F4" s="482" t="s">
        <v>300</v>
      </c>
      <c r="G4" s="485"/>
      <c r="H4" s="482" t="s">
        <v>37</v>
      </c>
      <c r="I4" s="485"/>
      <c r="J4" s="482" t="s">
        <v>26</v>
      </c>
      <c r="K4" s="488"/>
      <c r="L4" s="482" t="s">
        <v>27</v>
      </c>
      <c r="M4" s="485"/>
      <c r="N4" s="482" t="s">
        <v>38</v>
      </c>
      <c r="O4" s="485"/>
      <c r="P4" s="482" t="s">
        <v>50</v>
      </c>
      <c r="Q4" s="485"/>
      <c r="R4" s="33" t="s">
        <v>305</v>
      </c>
      <c r="S4" s="34"/>
      <c r="T4" s="34" t="s">
        <v>423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.75" customHeight="1">
      <c r="A5" s="40"/>
      <c r="B5" s="482" t="s">
        <v>13</v>
      </c>
      <c r="C5" s="483" t="s">
        <v>574</v>
      </c>
      <c r="D5" s="46"/>
      <c r="E5" s="483"/>
      <c r="F5" s="482" t="s">
        <v>570</v>
      </c>
      <c r="G5" s="485" t="s">
        <v>571</v>
      </c>
      <c r="H5" s="482" t="s">
        <v>308</v>
      </c>
      <c r="I5" s="484"/>
      <c r="J5" s="46"/>
      <c r="K5" s="485"/>
      <c r="L5" s="489" t="s">
        <v>315</v>
      </c>
      <c r="M5" s="485"/>
      <c r="N5" s="482"/>
      <c r="O5" s="485"/>
      <c r="P5" s="46"/>
      <c r="Q5" s="484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82"/>
      <c r="C6" s="484"/>
      <c r="D6" s="482"/>
      <c r="E6" s="485"/>
      <c r="F6" s="482"/>
      <c r="G6" s="485"/>
      <c r="H6" s="482"/>
      <c r="I6" s="484"/>
      <c r="J6" s="482"/>
      <c r="K6" s="485"/>
      <c r="L6" s="482"/>
      <c r="M6" s="483"/>
      <c r="N6" s="482"/>
      <c r="O6" s="484"/>
      <c r="P6" s="482"/>
      <c r="Q6" s="485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82"/>
      <c r="C7" s="485"/>
      <c r="D7" s="482"/>
      <c r="E7" s="485"/>
      <c r="F7" s="482"/>
      <c r="G7" s="487"/>
      <c r="H7" s="482"/>
      <c r="I7" s="485"/>
      <c r="J7" s="482"/>
      <c r="K7" s="483"/>
      <c r="L7" s="490"/>
      <c r="M7" s="483"/>
      <c r="N7" s="482"/>
      <c r="O7" s="485"/>
      <c r="P7" s="491"/>
      <c r="Q7" s="487"/>
      <c r="R7" s="403" t="s">
        <v>572</v>
      </c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92"/>
      <c r="C8" s="493"/>
      <c r="D8" s="492"/>
      <c r="E8" s="485"/>
      <c r="F8" s="482"/>
      <c r="G8" s="484"/>
      <c r="H8" s="482"/>
      <c r="I8" s="484"/>
      <c r="J8" s="492"/>
      <c r="K8" s="494" t="s">
        <v>45</v>
      </c>
      <c r="L8" s="495"/>
      <c r="M8" s="494"/>
      <c r="N8" s="482"/>
      <c r="O8" s="485"/>
      <c r="P8" s="492"/>
      <c r="Q8" s="496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97"/>
      <c r="C9" s="498">
        <v>2</v>
      </c>
      <c r="D9" s="499"/>
      <c r="E9" s="498">
        <v>2</v>
      </c>
      <c r="F9" s="499"/>
      <c r="G9" s="498">
        <v>2.5</v>
      </c>
      <c r="H9" s="500">
        <v>3</v>
      </c>
      <c r="I9" s="498">
        <v>3</v>
      </c>
      <c r="J9" s="499"/>
      <c r="K9" s="498">
        <v>2</v>
      </c>
      <c r="L9" s="499">
        <v>2.75</v>
      </c>
      <c r="M9" s="498">
        <f>L9-M11</f>
        <v>2.35</v>
      </c>
      <c r="N9" s="501">
        <v>2</v>
      </c>
      <c r="O9" s="498">
        <f>N9-O11</f>
        <v>2</v>
      </c>
      <c r="P9" s="492">
        <v>2</v>
      </c>
      <c r="Q9" s="502">
        <f>P9-Q11</f>
        <v>1.3</v>
      </c>
      <c r="R9" s="40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503"/>
      <c r="C10" s="504"/>
      <c r="D10" s="501"/>
      <c r="E10" s="505"/>
      <c r="F10" s="506"/>
      <c r="G10" s="507"/>
      <c r="H10" s="508"/>
      <c r="I10" s="505"/>
      <c r="J10" s="503"/>
      <c r="K10" s="509"/>
      <c r="L10" s="510"/>
      <c r="M10" s="509"/>
      <c r="N10" s="482"/>
      <c r="O10" s="484"/>
      <c r="P10" s="492"/>
      <c r="Q10" s="487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511"/>
      <c r="C11" s="512"/>
      <c r="D11" s="513"/>
      <c r="E11" s="514"/>
      <c r="F11" s="515"/>
      <c r="G11" s="512"/>
      <c r="H11" s="516" t="s">
        <v>53</v>
      </c>
      <c r="I11" s="517">
        <v>0</v>
      </c>
      <c r="J11" s="515"/>
      <c r="K11" s="518"/>
      <c r="L11" s="516" t="s">
        <v>53</v>
      </c>
      <c r="M11" s="518">
        <v>0.4</v>
      </c>
      <c r="N11" s="516" t="s">
        <v>53</v>
      </c>
      <c r="O11" s="517">
        <v>0</v>
      </c>
      <c r="P11" s="515" t="s">
        <v>54</v>
      </c>
      <c r="Q11" s="519">
        <v>0.7</v>
      </c>
      <c r="R11" s="92" t="s">
        <v>447</v>
      </c>
      <c r="S11" s="474" t="s">
        <v>542</v>
      </c>
      <c r="T11" s="474" t="s">
        <v>565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438" t="s">
        <v>447</v>
      </c>
      <c r="C12" s="601" t="s">
        <v>213</v>
      </c>
      <c r="D12" s="611" t="s">
        <v>190</v>
      </c>
      <c r="E12" s="601" t="s">
        <v>529</v>
      </c>
      <c r="F12" s="438" t="s">
        <v>327</v>
      </c>
      <c r="G12" s="602" t="s">
        <v>213</v>
      </c>
      <c r="H12" s="397" t="s">
        <v>62</v>
      </c>
      <c r="I12" s="601" t="s">
        <v>213</v>
      </c>
      <c r="J12" s="397" t="s">
        <v>502</v>
      </c>
      <c r="K12" s="620" t="s">
        <v>573</v>
      </c>
      <c r="L12" s="397" t="s">
        <v>219</v>
      </c>
      <c r="M12" s="602" t="s">
        <v>213</v>
      </c>
      <c r="N12" s="99" t="s">
        <v>64</v>
      </c>
      <c r="O12" s="602" t="s">
        <v>213</v>
      </c>
      <c r="P12" s="608" t="s">
        <v>67</v>
      </c>
      <c r="Q12" s="603" t="s">
        <v>213</v>
      </c>
      <c r="R12" s="474" t="s">
        <v>317</v>
      </c>
      <c r="S12" s="474" t="s">
        <v>544</v>
      </c>
      <c r="T12" s="62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606"/>
      <c r="C13" s="604"/>
      <c r="D13" s="608"/>
      <c r="E13" s="604"/>
      <c r="F13" s="397" t="s">
        <v>73</v>
      </c>
      <c r="G13" s="604" t="s">
        <v>78</v>
      </c>
      <c r="H13" s="539" t="s">
        <v>66</v>
      </c>
      <c r="I13" s="466" t="s">
        <v>87</v>
      </c>
      <c r="J13" s="608" t="s">
        <v>575</v>
      </c>
      <c r="K13" s="607" t="s">
        <v>74</v>
      </c>
      <c r="L13" s="397" t="s">
        <v>73</v>
      </c>
      <c r="M13" s="604" t="s">
        <v>74</v>
      </c>
      <c r="N13" s="24"/>
      <c r="O13" s="20"/>
      <c r="P13" s="608" t="s">
        <v>575</v>
      </c>
      <c r="Q13" s="604" t="s">
        <v>72</v>
      </c>
      <c r="R13" s="472" t="s">
        <v>326</v>
      </c>
      <c r="S13" s="481" t="s">
        <v>319</v>
      </c>
      <c r="T13" s="614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12.5" customHeight="1">
      <c r="A14" s="96"/>
      <c r="B14" s="397"/>
      <c r="C14" s="604"/>
      <c r="D14" s="608"/>
      <c r="E14" s="607"/>
      <c r="F14" s="608" t="s">
        <v>575</v>
      </c>
      <c r="G14" s="604" t="s">
        <v>87</v>
      </c>
      <c r="H14" s="444" t="s">
        <v>382</v>
      </c>
      <c r="I14" s="604" t="s">
        <v>72</v>
      </c>
      <c r="J14" s="606"/>
      <c r="K14" s="607"/>
      <c r="L14" s="46"/>
      <c r="N14" s="619"/>
      <c r="O14" s="185"/>
      <c r="P14" s="608"/>
      <c r="Q14" s="604"/>
      <c r="R14" s="472" t="s">
        <v>331</v>
      </c>
      <c r="S14" s="474" t="s">
        <v>356</v>
      </c>
      <c r="T14" s="614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14" customHeight="1">
      <c r="A15" s="40"/>
      <c r="B15" s="535"/>
      <c r="C15" s="537"/>
      <c r="D15" s="538"/>
      <c r="E15" s="528"/>
      <c r="F15" s="530"/>
      <c r="G15" s="528"/>
      <c r="H15" s="608" t="s">
        <v>575</v>
      </c>
      <c r="I15" s="602" t="s">
        <v>78</v>
      </c>
      <c r="J15" s="46"/>
      <c r="L15" s="24"/>
      <c r="M15" s="590"/>
      <c r="N15" s="535"/>
      <c r="O15" s="590"/>
      <c r="P15" s="506"/>
      <c r="Q15" s="524"/>
      <c r="R15" s="472" t="s">
        <v>321</v>
      </c>
      <c r="S15" s="474" t="s">
        <v>566</v>
      </c>
      <c r="T15" s="614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71"/>
      <c r="C16" s="485"/>
      <c r="D16" s="577"/>
      <c r="E16" s="573"/>
      <c r="F16" s="571"/>
      <c r="G16" s="485"/>
      <c r="H16" s="574"/>
      <c r="I16" s="485"/>
      <c r="J16" s="525"/>
      <c r="K16" s="575"/>
      <c r="L16" s="576"/>
      <c r="M16" s="575"/>
      <c r="N16" s="571"/>
      <c r="O16" s="591"/>
      <c r="P16" s="571"/>
      <c r="Q16" s="540"/>
      <c r="R16" s="471" t="s">
        <v>552</v>
      </c>
      <c r="S16" s="599" t="s">
        <v>541</v>
      </c>
      <c r="T16" s="614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532"/>
      <c r="C17" s="541"/>
      <c r="D17" s="542" t="s">
        <v>249</v>
      </c>
      <c r="E17" s="543" t="s">
        <v>74</v>
      </c>
      <c r="F17" s="577" t="s">
        <v>249</v>
      </c>
      <c r="G17" s="544" t="s">
        <v>78</v>
      </c>
      <c r="H17" s="545"/>
      <c r="I17" s="546"/>
      <c r="J17" s="482"/>
      <c r="K17" s="484"/>
      <c r="L17" s="600" t="s">
        <v>567</v>
      </c>
      <c r="M17" s="546" t="s">
        <v>568</v>
      </c>
      <c r="N17" s="610"/>
      <c r="O17" s="546"/>
      <c r="P17" s="547" t="s">
        <v>54</v>
      </c>
      <c r="Q17" s="548">
        <v>0.4</v>
      </c>
      <c r="R17" s="678" t="s">
        <v>569</v>
      </c>
      <c r="S17" s="679"/>
      <c r="T17" s="680"/>
      <c r="U17" s="681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549">
        <f>B51</f>
        <v>1.119533527696793</v>
      </c>
      <c r="C18" s="550"/>
      <c r="D18" s="549">
        <f>D51</f>
        <v>1.119533527696793</v>
      </c>
      <c r="E18" s="551"/>
      <c r="F18" s="549">
        <f>F51</f>
        <v>1.3994169096209914</v>
      </c>
      <c r="G18" s="550"/>
      <c r="H18" s="549">
        <f>H51</f>
        <v>1.6793002915451893</v>
      </c>
      <c r="I18" s="550"/>
      <c r="J18" s="552">
        <f>J51</f>
        <v>1.119533527696793</v>
      </c>
      <c r="K18" s="550"/>
      <c r="L18" s="552">
        <f>L51</f>
        <v>1.3154518950437319</v>
      </c>
      <c r="M18" s="550"/>
      <c r="N18" s="549">
        <f>N51</f>
        <v>1.119533527696793</v>
      </c>
      <c r="O18" s="551"/>
      <c r="P18" s="553">
        <f>P51</f>
        <v>0.72769679300291557</v>
      </c>
      <c r="Q18" s="551">
        <f>P18+Q17</f>
        <v>1.1276967930029156</v>
      </c>
      <c r="R18" s="682"/>
      <c r="S18" s="683"/>
      <c r="T18" s="683"/>
      <c r="U18" s="684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65"/>
      <c r="C19" s="566"/>
      <c r="D19" s="565"/>
      <c r="E19" s="566"/>
      <c r="F19" s="565" t="s">
        <v>578</v>
      </c>
      <c r="G19" s="560" t="s">
        <v>579</v>
      </c>
      <c r="H19" s="565" t="s">
        <v>349</v>
      </c>
      <c r="I19" s="566" t="s">
        <v>580</v>
      </c>
      <c r="J19" s="565" t="s">
        <v>419</v>
      </c>
      <c r="K19" s="567" t="s">
        <v>583</v>
      </c>
      <c r="L19" s="561" t="s">
        <v>478</v>
      </c>
      <c r="M19" s="562" t="s">
        <v>581</v>
      </c>
      <c r="N19" s="565"/>
      <c r="O19" s="566"/>
      <c r="P19" s="565"/>
      <c r="Q19" s="566"/>
      <c r="R19" s="685" t="s">
        <v>90</v>
      </c>
      <c r="S19" s="686"/>
      <c r="T19" s="686"/>
      <c r="U19" s="687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59"/>
      <c r="C20" s="559"/>
      <c r="D20" s="558"/>
      <c r="E20" s="559"/>
      <c r="F20" s="563"/>
      <c r="G20" s="562"/>
      <c r="H20" s="564" t="s">
        <v>471</v>
      </c>
      <c r="I20" s="559" t="s">
        <v>576</v>
      </c>
      <c r="J20" s="558"/>
      <c r="K20" s="559"/>
      <c r="L20" s="558"/>
      <c r="M20" s="559"/>
      <c r="N20" s="558"/>
      <c r="O20" s="559"/>
      <c r="P20" s="558"/>
      <c r="Q20" s="559"/>
      <c r="R20" s="163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64" t="s">
        <v>415</v>
      </c>
      <c r="I21" s="107" t="s">
        <v>577</v>
      </c>
      <c r="J21" s="24"/>
      <c r="K21" s="160"/>
      <c r="L21" s="56"/>
      <c r="M21" s="107"/>
      <c r="N21" s="24"/>
      <c r="O21" s="107"/>
      <c r="P21" s="24"/>
      <c r="Q21" s="20"/>
      <c r="R21" s="168"/>
      <c r="S21" s="691" t="s">
        <v>93</v>
      </c>
      <c r="T21" s="691"/>
      <c r="U21" s="692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138">
      <c r="A22" s="19"/>
      <c r="D22" s="46"/>
      <c r="F22" s="170"/>
      <c r="G22" s="171"/>
      <c r="H22" s="565" t="s">
        <v>419</v>
      </c>
      <c r="I22" s="107" t="s">
        <v>582</v>
      </c>
      <c r="J22" s="46"/>
      <c r="L22" s="173" t="s">
        <v>117</v>
      </c>
      <c r="M22" s="172"/>
      <c r="N22" s="174"/>
      <c r="O22" s="175"/>
      <c r="P22" s="176"/>
      <c r="Q22" s="177"/>
      <c r="R22" s="693"/>
      <c r="S22" s="694"/>
      <c r="T22" s="694"/>
      <c r="U22" s="695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96"/>
      <c r="S23" s="697"/>
      <c r="T23" s="697"/>
      <c r="U23" s="698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-13.309037900874628</v>
      </c>
      <c r="C30" s="218"/>
      <c r="D30" s="219">
        <f>D44</f>
        <v>-12.309037900874628</v>
      </c>
      <c r="E30" s="220"/>
      <c r="F30" s="221">
        <f>F44</f>
        <v>3.1137026239067183</v>
      </c>
      <c r="G30" s="221"/>
      <c r="H30" s="217">
        <f>H44</f>
        <v>27.536443148688051</v>
      </c>
      <c r="I30" s="218"/>
      <c r="J30" s="217">
        <f>J44</f>
        <v>2.6909620991253718</v>
      </c>
      <c r="K30" s="222"/>
      <c r="L30" s="217">
        <f>L44</f>
        <v>9.4868804664723143</v>
      </c>
      <c r="M30" s="222"/>
      <c r="N30" s="217">
        <f>N44</f>
        <v>-3.3090379008746282</v>
      </c>
      <c r="O30" s="222"/>
      <c r="P30" s="152">
        <f>P44</f>
        <v>-13.900874635568506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24" t="s">
        <v>196</v>
      </c>
      <c r="C31" s="445" t="s">
        <v>99</v>
      </c>
      <c r="D31" s="441" t="s">
        <v>23</v>
      </c>
      <c r="E31" s="445" t="s">
        <v>401</v>
      </c>
      <c r="F31" s="419" t="s">
        <v>198</v>
      </c>
      <c r="G31" s="464" t="s">
        <v>99</v>
      </c>
      <c r="H31" s="486" t="s">
        <v>47</v>
      </c>
      <c r="I31" s="464" t="s">
        <v>242</v>
      </c>
      <c r="J31" s="24" t="s">
        <v>14</v>
      </c>
      <c r="K31" s="445" t="s">
        <v>99</v>
      </c>
      <c r="L31" s="456" t="s">
        <v>564</v>
      </c>
      <c r="M31" s="464" t="s">
        <v>563</v>
      </c>
      <c r="N31" s="457" t="s">
        <v>302</v>
      </c>
      <c r="O31" s="445" t="s">
        <v>242</v>
      </c>
      <c r="P31" s="24"/>
      <c r="Q31" s="448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24" t="s">
        <v>560</v>
      </c>
      <c r="C32" s="107" t="s">
        <v>561</v>
      </c>
      <c r="D32" s="612"/>
      <c r="E32" s="229"/>
      <c r="F32" s="457"/>
      <c r="G32" s="229"/>
      <c r="H32" s="24" t="s">
        <v>562</v>
      </c>
      <c r="I32" s="445" t="s">
        <v>563</v>
      </c>
      <c r="J32" s="24"/>
      <c r="K32" s="229"/>
      <c r="L32" s="441"/>
      <c r="M32" s="229"/>
      <c r="N32" s="24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241"/>
      <c r="C33" s="107"/>
      <c r="D33" s="242"/>
      <c r="E33" s="61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548</v>
      </c>
      <c r="T33" s="232" t="s">
        <v>109</v>
      </c>
      <c r="U33" s="247" t="s">
        <v>337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669"/>
      <c r="W40" s="670"/>
      <c r="X40" s="670"/>
      <c r="Y40" s="671"/>
      <c r="Z40" s="302"/>
      <c r="AA40" s="303"/>
    </row>
    <row r="41" spans="1:33" ht="73" thickBot="1">
      <c r="A41" s="304" t="s">
        <v>136</v>
      </c>
      <c r="B41" s="305">
        <f>SUM(B43:T43)</f>
        <v>17.149999999999999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672"/>
      <c r="W41" s="673"/>
      <c r="X41" s="673"/>
      <c r="Y41" s="674"/>
      <c r="Z41" s="302"/>
      <c r="AA41" s="303"/>
    </row>
    <row r="42" spans="1:33" ht="72">
      <c r="A42" s="304" t="s">
        <v>137</v>
      </c>
      <c r="B42" s="294">
        <f>B40/B41</f>
        <v>30.845481049562686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2</v>
      </c>
      <c r="C43" s="295"/>
      <c r="D43" s="296">
        <f>E9</f>
        <v>2</v>
      </c>
      <c r="E43" s="297"/>
      <c r="F43" s="296">
        <f>G9</f>
        <v>2.5</v>
      </c>
      <c r="G43" s="297"/>
      <c r="H43" s="278">
        <f>I9</f>
        <v>3</v>
      </c>
      <c r="I43" s="299"/>
      <c r="J43" s="278">
        <f>K9</f>
        <v>2</v>
      </c>
      <c r="K43" s="299"/>
      <c r="L43" s="278">
        <f>M9</f>
        <v>2.35</v>
      </c>
      <c r="M43" s="299"/>
      <c r="N43" s="278">
        <f>O9</f>
        <v>2</v>
      </c>
      <c r="O43" s="299"/>
      <c r="P43" s="311">
        <f>Q9</f>
        <v>1.3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-13.309037900874628</v>
      </c>
      <c r="C44" s="295"/>
      <c r="D44" s="318">
        <f>B40/B41*D43-D45</f>
        <v>-12.309037900874628</v>
      </c>
      <c r="E44" s="319"/>
      <c r="F44" s="318">
        <f>B40/B41*F43-F45</f>
        <v>3.1137026239067183</v>
      </c>
      <c r="G44" s="320"/>
      <c r="H44" s="321">
        <f>B40/B41*H43-H45</f>
        <v>27.536443148688051</v>
      </c>
      <c r="I44" s="322"/>
      <c r="J44" s="321">
        <f>B40/B41*J43-J45</f>
        <v>2.6909620991253718</v>
      </c>
      <c r="K44" s="322"/>
      <c r="L44" s="321">
        <f>B40/B41*L43-L45</f>
        <v>9.4868804664723143</v>
      </c>
      <c r="M44" s="322"/>
      <c r="N44" s="321">
        <f>B40/B41*N43-N45</f>
        <v>-3.3090379008746282</v>
      </c>
      <c r="O44" s="322"/>
      <c r="P44" s="311">
        <f>B40/B41*P43-P45</f>
        <v>-13.900874635568506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313</v>
      </c>
      <c r="K46" s="348">
        <v>59</v>
      </c>
      <c r="L46" s="349" t="s">
        <v>312</v>
      </c>
      <c r="M46" s="348">
        <v>63</v>
      </c>
      <c r="N46" s="349" t="s">
        <v>311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9.6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55.104166666666671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61.690962099125372</v>
      </c>
      <c r="C50" s="354"/>
      <c r="D50" s="354">
        <f>B42*D43</f>
        <v>61.690962099125372</v>
      </c>
      <c r="E50" s="354"/>
      <c r="F50" s="354">
        <f>B42*F43</f>
        <v>77.113702623906718</v>
      </c>
      <c r="G50" s="354"/>
      <c r="H50" s="359">
        <f>B42*H43</f>
        <v>92.536443148688051</v>
      </c>
      <c r="I50" s="354"/>
      <c r="J50" s="354">
        <f>B42*J43</f>
        <v>61.690962099125372</v>
      </c>
      <c r="K50" s="354"/>
      <c r="L50" s="354">
        <f>B42*L43</f>
        <v>72.486880466472314</v>
      </c>
      <c r="M50" s="354"/>
      <c r="N50" s="359">
        <f>B42*N43</f>
        <v>61.690962099125372</v>
      </c>
      <c r="O50" s="354"/>
      <c r="P50" s="354">
        <f>B42*P43</f>
        <v>40.099125364431494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1.119533527696793</v>
      </c>
      <c r="C51" s="354"/>
      <c r="D51" s="354">
        <f>D50/B49</f>
        <v>1.119533527696793</v>
      </c>
      <c r="E51" s="354"/>
      <c r="F51" s="354">
        <f>F50/B49</f>
        <v>1.3994169096209914</v>
      </c>
      <c r="G51" s="354"/>
      <c r="H51" s="354">
        <f>H50/B49</f>
        <v>1.6793002915451893</v>
      </c>
      <c r="I51" s="354"/>
      <c r="J51" s="354">
        <f>J50/B49</f>
        <v>1.119533527696793</v>
      </c>
      <c r="K51" s="354"/>
      <c r="L51" s="354">
        <f>L50/B49</f>
        <v>1.3154518950437319</v>
      </c>
      <c r="M51" s="354"/>
      <c r="N51" s="359">
        <f>N50/B49</f>
        <v>1.119533527696793</v>
      </c>
      <c r="O51" s="354"/>
      <c r="P51" s="354">
        <f>P50/B49</f>
        <v>0.72769679300291557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324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325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0.5</v>
      </c>
      <c r="D69" s="376" t="s">
        <v>178</v>
      </c>
      <c r="E69" s="376">
        <v>0.25</v>
      </c>
      <c r="F69" s="376">
        <f>Q17</f>
        <v>0.4</v>
      </c>
      <c r="G69" s="380">
        <v>3.25</v>
      </c>
      <c r="H69" s="376">
        <v>0</v>
      </c>
      <c r="I69" s="377">
        <v>0</v>
      </c>
      <c r="J69" s="376">
        <f>SUM(C69:H69)</f>
        <v>4.4000000000000004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J101"/>
  <sheetViews>
    <sheetView topLeftCell="D1" zoomScale="50" zoomScaleNormal="50" workbookViewId="0">
      <selection activeCell="I9" sqref="I9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45980</v>
      </c>
      <c r="E1" s="3" t="str">
        <f>TEXT(D1, "dddd")</f>
        <v>星期三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82" t="s">
        <v>33</v>
      </c>
      <c r="C3" s="483"/>
      <c r="D3" s="482" t="s">
        <v>25</v>
      </c>
      <c r="E3" s="568">
        <v>0.75</v>
      </c>
      <c r="F3" s="482" t="s">
        <v>299</v>
      </c>
      <c r="G3" s="485"/>
      <c r="H3" s="486" t="s">
        <v>538</v>
      </c>
      <c r="I3" s="485"/>
      <c r="J3" s="482" t="s">
        <v>297</v>
      </c>
      <c r="K3" s="485"/>
      <c r="L3" s="482" t="s">
        <v>301</v>
      </c>
      <c r="M3" s="485"/>
      <c r="N3" s="482" t="s">
        <v>15</v>
      </c>
      <c r="O3" s="485"/>
      <c r="P3" s="482" t="s">
        <v>28</v>
      </c>
      <c r="Q3" s="483"/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82" t="s">
        <v>589</v>
      </c>
      <c r="C4" s="483"/>
      <c r="D4" s="482" t="s">
        <v>596</v>
      </c>
      <c r="E4" s="485">
        <v>0.75</v>
      </c>
      <c r="F4" s="482" t="s">
        <v>300</v>
      </c>
      <c r="G4" s="485"/>
      <c r="H4" s="482" t="s">
        <v>37</v>
      </c>
      <c r="I4" s="485"/>
      <c r="J4" s="482" t="s">
        <v>26</v>
      </c>
      <c r="K4" s="488"/>
      <c r="L4" s="482" t="s">
        <v>27</v>
      </c>
      <c r="M4" s="485"/>
      <c r="N4" s="482" t="s">
        <v>38</v>
      </c>
      <c r="O4" s="485"/>
      <c r="P4" s="482" t="s">
        <v>50</v>
      </c>
      <c r="Q4" s="485"/>
      <c r="R4" s="33" t="s">
        <v>305</v>
      </c>
      <c r="S4" s="34"/>
      <c r="T4" s="34" t="s">
        <v>423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82" t="s">
        <v>590</v>
      </c>
      <c r="C5" s="484" t="s">
        <v>591</v>
      </c>
      <c r="D5" s="482" t="s">
        <v>34</v>
      </c>
      <c r="E5" s="623"/>
      <c r="F5" s="482" t="s">
        <v>594</v>
      </c>
      <c r="G5" s="625" t="s">
        <v>595</v>
      </c>
      <c r="H5" s="482" t="s">
        <v>308</v>
      </c>
      <c r="I5" s="484"/>
      <c r="J5" s="46"/>
      <c r="K5" s="485"/>
      <c r="L5" s="489" t="s">
        <v>315</v>
      </c>
      <c r="M5" s="485"/>
      <c r="N5" s="482"/>
      <c r="O5" s="485"/>
      <c r="P5" s="482"/>
      <c r="Q5" s="484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82"/>
      <c r="E6" s="485"/>
      <c r="F6" s="482"/>
      <c r="G6" s="485"/>
      <c r="H6" s="482"/>
      <c r="I6" s="484"/>
      <c r="J6" s="482"/>
      <c r="K6" s="485"/>
      <c r="L6" s="482"/>
      <c r="M6" s="483"/>
      <c r="N6" s="482"/>
      <c r="O6" s="484"/>
      <c r="P6" s="482"/>
      <c r="Q6" s="485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82"/>
      <c r="C7" s="485"/>
      <c r="D7" s="482"/>
      <c r="E7" s="485"/>
      <c r="F7" s="482"/>
      <c r="G7" s="487"/>
      <c r="H7" s="482"/>
      <c r="I7" s="485"/>
      <c r="J7" s="482"/>
      <c r="K7" s="483"/>
      <c r="L7" s="490"/>
      <c r="M7" s="483"/>
      <c r="N7" s="482"/>
      <c r="O7" s="485"/>
      <c r="P7" s="491"/>
      <c r="Q7" s="487"/>
      <c r="R7" s="403" t="s">
        <v>572</v>
      </c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92"/>
      <c r="C8" s="493"/>
      <c r="D8" s="492"/>
      <c r="E8" s="485"/>
      <c r="F8" s="482"/>
      <c r="G8" s="484"/>
      <c r="H8" s="482"/>
      <c r="I8" s="484"/>
      <c r="J8" s="492"/>
      <c r="K8" s="494" t="s">
        <v>45</v>
      </c>
      <c r="L8" s="495"/>
      <c r="M8" s="494"/>
      <c r="N8" s="482"/>
      <c r="O8" s="485"/>
      <c r="P8" s="492"/>
      <c r="Q8" s="496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97"/>
      <c r="C9" s="498">
        <v>2.5</v>
      </c>
      <c r="D9" s="499"/>
      <c r="E9" s="498">
        <v>2.5</v>
      </c>
      <c r="F9" s="499"/>
      <c r="G9" s="498">
        <v>2.5</v>
      </c>
      <c r="H9" s="500">
        <v>3</v>
      </c>
      <c r="I9" s="498">
        <v>3</v>
      </c>
      <c r="J9" s="499"/>
      <c r="K9" s="498">
        <v>2</v>
      </c>
      <c r="L9" s="499">
        <v>3</v>
      </c>
      <c r="M9" s="498">
        <f>L9-M11</f>
        <v>2.6</v>
      </c>
      <c r="N9" s="501">
        <v>2</v>
      </c>
      <c r="O9" s="498">
        <f>N9-O11</f>
        <v>2</v>
      </c>
      <c r="P9" s="492">
        <v>2</v>
      </c>
      <c r="Q9" s="502">
        <f>P9-Q11</f>
        <v>1.3</v>
      </c>
      <c r="R9" s="40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503"/>
      <c r="C10" s="504"/>
      <c r="D10" s="501"/>
      <c r="E10" s="505"/>
      <c r="F10" s="506"/>
      <c r="G10" s="507"/>
      <c r="H10" s="508"/>
      <c r="I10" s="505"/>
      <c r="J10" s="503"/>
      <c r="K10" s="509"/>
      <c r="L10" s="510"/>
      <c r="M10" s="509"/>
      <c r="N10" s="482"/>
      <c r="O10" s="484"/>
      <c r="P10" s="492"/>
      <c r="Q10" s="487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511"/>
      <c r="C11" s="512"/>
      <c r="D11" s="513"/>
      <c r="E11" s="514"/>
      <c r="F11" s="515"/>
      <c r="G11" s="512"/>
      <c r="H11" s="516" t="s">
        <v>53</v>
      </c>
      <c r="I11" s="517">
        <v>0</v>
      </c>
      <c r="J11" s="515"/>
      <c r="K11" s="518"/>
      <c r="L11" s="516" t="s">
        <v>53</v>
      </c>
      <c r="M11" s="518">
        <v>0.4</v>
      </c>
      <c r="N11" s="516" t="s">
        <v>53</v>
      </c>
      <c r="O11" s="517">
        <v>0</v>
      </c>
      <c r="P11" s="515" t="s">
        <v>54</v>
      </c>
      <c r="Q11" s="519">
        <v>0.7</v>
      </c>
      <c r="R11" s="92" t="s">
        <v>447</v>
      </c>
      <c r="S11" s="474" t="s">
        <v>542</v>
      </c>
      <c r="T11" s="474" t="s">
        <v>565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438" t="s">
        <v>447</v>
      </c>
      <c r="C12" s="601" t="s">
        <v>213</v>
      </c>
      <c r="D12" s="444" t="s">
        <v>190</v>
      </c>
      <c r="E12" s="601" t="s">
        <v>59</v>
      </c>
      <c r="F12" s="438" t="s">
        <v>327</v>
      </c>
      <c r="G12" s="602" t="s">
        <v>213</v>
      </c>
      <c r="H12" s="397" t="s">
        <v>62</v>
      </c>
      <c r="I12" s="601" t="s">
        <v>213</v>
      </c>
      <c r="J12" s="397" t="s">
        <v>502</v>
      </c>
      <c r="K12" s="602" t="s">
        <v>213</v>
      </c>
      <c r="L12" s="397" t="s">
        <v>219</v>
      </c>
      <c r="M12" s="602" t="s">
        <v>213</v>
      </c>
      <c r="N12" s="99" t="s">
        <v>64</v>
      </c>
      <c r="O12" s="602" t="s">
        <v>213</v>
      </c>
      <c r="P12" s="608" t="s">
        <v>598</v>
      </c>
      <c r="Q12" s="603" t="s">
        <v>213</v>
      </c>
      <c r="R12" s="474" t="s">
        <v>317</v>
      </c>
      <c r="S12" s="474" t="s">
        <v>460</v>
      </c>
      <c r="T12" s="62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606" t="s">
        <v>67</v>
      </c>
      <c r="C13" s="624" t="s">
        <v>74</v>
      </c>
      <c r="D13" s="608" t="s">
        <v>67</v>
      </c>
      <c r="E13" s="604" t="s">
        <v>87</v>
      </c>
      <c r="F13" s="444" t="s">
        <v>249</v>
      </c>
      <c r="G13" s="604" t="s">
        <v>72</v>
      </c>
      <c r="H13" s="539" t="s">
        <v>592</v>
      </c>
      <c r="I13" s="185" t="s">
        <v>87</v>
      </c>
      <c r="J13" s="608"/>
      <c r="K13" s="607"/>
      <c r="L13" s="397" t="s">
        <v>597</v>
      </c>
      <c r="M13" s="604" t="s">
        <v>248</v>
      </c>
      <c r="N13" s="24"/>
      <c r="O13" s="20"/>
      <c r="P13" s="608"/>
      <c r="Q13" s="604"/>
      <c r="R13" s="472" t="s">
        <v>326</v>
      </c>
      <c r="S13" s="481" t="s">
        <v>319</v>
      </c>
      <c r="T13" s="55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12.5" customHeight="1">
      <c r="A14" s="96"/>
      <c r="B14" s="397"/>
      <c r="C14" s="604"/>
      <c r="D14" s="397" t="s">
        <v>73</v>
      </c>
      <c r="E14" s="607" t="s">
        <v>72</v>
      </c>
      <c r="F14" s="608"/>
      <c r="G14" s="604"/>
      <c r="H14" s="444" t="s">
        <v>67</v>
      </c>
      <c r="I14" s="604" t="s">
        <v>36</v>
      </c>
      <c r="J14" s="606"/>
      <c r="K14" s="607"/>
      <c r="L14" s="46"/>
      <c r="N14" s="619"/>
      <c r="O14" s="185"/>
      <c r="P14" s="608"/>
      <c r="Q14" s="604"/>
      <c r="R14" s="472" t="s">
        <v>331</v>
      </c>
      <c r="S14" s="474" t="s">
        <v>356</v>
      </c>
      <c r="T14" s="55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14" customHeight="1">
      <c r="A15" s="40"/>
      <c r="B15" s="535"/>
      <c r="C15" s="537"/>
      <c r="D15" s="538"/>
      <c r="E15" s="528"/>
      <c r="F15" s="530"/>
      <c r="G15" s="528"/>
      <c r="H15" s="608"/>
      <c r="I15" s="602"/>
      <c r="J15" s="46"/>
      <c r="L15" s="24"/>
      <c r="M15" s="590"/>
      <c r="N15" s="535"/>
      <c r="O15" s="590"/>
      <c r="P15" s="506"/>
      <c r="Q15" s="524"/>
      <c r="R15" s="472" t="s">
        <v>321</v>
      </c>
      <c r="S15" s="474" t="s">
        <v>484</v>
      </c>
      <c r="T15" s="55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71"/>
      <c r="C16" s="485"/>
      <c r="D16" s="577"/>
      <c r="E16" s="573"/>
      <c r="F16" s="571"/>
      <c r="G16" s="485"/>
      <c r="H16" s="574"/>
      <c r="I16" s="485"/>
      <c r="J16" s="525"/>
      <c r="K16" s="575"/>
      <c r="L16" s="576"/>
      <c r="M16" s="575"/>
      <c r="N16" s="571"/>
      <c r="O16" s="591"/>
      <c r="P16" s="571"/>
      <c r="Q16" s="540"/>
      <c r="R16" s="471" t="s">
        <v>552</v>
      </c>
      <c r="S16" s="599" t="s">
        <v>541</v>
      </c>
      <c r="T16" s="55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532"/>
      <c r="C17" s="541"/>
      <c r="D17" s="542" t="s">
        <v>249</v>
      </c>
      <c r="E17" s="543" t="s">
        <v>74</v>
      </c>
      <c r="F17" s="577" t="s">
        <v>413</v>
      </c>
      <c r="G17" s="544" t="s">
        <v>78</v>
      </c>
      <c r="H17" s="545"/>
      <c r="I17" s="546"/>
      <c r="J17" s="482"/>
      <c r="K17" s="484"/>
      <c r="L17" s="610" t="s">
        <v>382</v>
      </c>
      <c r="M17" s="546" t="s">
        <v>87</v>
      </c>
      <c r="N17" s="610"/>
      <c r="O17" s="546"/>
      <c r="P17" s="547" t="s">
        <v>54</v>
      </c>
      <c r="Q17" s="548">
        <v>0.4</v>
      </c>
      <c r="R17" s="678" t="s">
        <v>588</v>
      </c>
      <c r="S17" s="679"/>
      <c r="T17" s="680"/>
      <c r="U17" s="681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549">
        <f>B51</f>
        <v>1.338315217391304</v>
      </c>
      <c r="C18" s="550"/>
      <c r="D18" s="549">
        <f>D51</f>
        <v>1.338315217391304</v>
      </c>
      <c r="E18" s="551"/>
      <c r="F18" s="549">
        <f>F51</f>
        <v>1.338315217391304</v>
      </c>
      <c r="G18" s="550"/>
      <c r="H18" s="549">
        <f>H51</f>
        <v>1.605978260869565</v>
      </c>
      <c r="I18" s="550"/>
      <c r="J18" s="552">
        <f>J51</f>
        <v>1.0706521739130435</v>
      </c>
      <c r="K18" s="550"/>
      <c r="L18" s="552">
        <f>L51</f>
        <v>1.3918478260869565</v>
      </c>
      <c r="M18" s="550"/>
      <c r="N18" s="549">
        <f>N51</f>
        <v>1.0706521739130435</v>
      </c>
      <c r="O18" s="551"/>
      <c r="P18" s="553">
        <f>P51</f>
        <v>0.69592391304347823</v>
      </c>
      <c r="Q18" s="551">
        <f>P18+Q17</f>
        <v>1.0959239130434781</v>
      </c>
      <c r="R18" s="682"/>
      <c r="S18" s="683"/>
      <c r="T18" s="683"/>
      <c r="U18" s="684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65"/>
      <c r="C19" s="566"/>
      <c r="D19" s="565"/>
      <c r="E19" s="566"/>
      <c r="F19" s="565"/>
      <c r="G19" s="560"/>
      <c r="H19" s="565" t="s">
        <v>349</v>
      </c>
      <c r="I19" s="566" t="s">
        <v>599</v>
      </c>
      <c r="J19" s="565"/>
      <c r="K19" s="567"/>
      <c r="L19" s="561" t="s">
        <v>578</v>
      </c>
      <c r="M19" s="562" t="s">
        <v>603</v>
      </c>
      <c r="N19" s="565"/>
      <c r="O19" s="566"/>
      <c r="P19" s="565"/>
      <c r="Q19" s="566"/>
      <c r="R19" s="685" t="s">
        <v>90</v>
      </c>
      <c r="S19" s="686"/>
      <c r="T19" s="686"/>
      <c r="U19" s="687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59"/>
      <c r="C20" s="559"/>
      <c r="D20" s="558"/>
      <c r="E20" s="559"/>
      <c r="F20" s="563"/>
      <c r="G20" s="562"/>
      <c r="H20" s="564" t="s">
        <v>471</v>
      </c>
      <c r="I20" s="559" t="s">
        <v>602</v>
      </c>
      <c r="J20" s="558"/>
      <c r="K20" s="559"/>
      <c r="L20" s="558" t="s">
        <v>478</v>
      </c>
      <c r="M20" s="559" t="s">
        <v>601</v>
      </c>
      <c r="N20" s="558"/>
      <c r="O20" s="559"/>
      <c r="P20" s="558"/>
      <c r="Q20" s="559"/>
      <c r="R20" s="163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64" t="s">
        <v>373</v>
      </c>
      <c r="I21" s="107" t="s">
        <v>600</v>
      </c>
      <c r="J21" s="24"/>
      <c r="K21" s="160"/>
      <c r="L21" s="56"/>
      <c r="M21" s="107"/>
      <c r="N21" s="24"/>
      <c r="O21" s="107"/>
      <c r="P21" s="24"/>
      <c r="Q21" s="20"/>
      <c r="R21" s="168"/>
      <c r="S21" s="691" t="s">
        <v>93</v>
      </c>
      <c r="T21" s="691"/>
      <c r="U21" s="692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65"/>
      <c r="I22" s="107"/>
      <c r="J22" s="46"/>
      <c r="L22" s="173" t="s">
        <v>117</v>
      </c>
      <c r="M22" s="172"/>
      <c r="N22" s="174"/>
      <c r="O22" s="175"/>
      <c r="P22" s="176"/>
      <c r="Q22" s="177"/>
      <c r="R22" s="693"/>
      <c r="S22" s="694"/>
      <c r="T22" s="694"/>
      <c r="U22" s="695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96"/>
      <c r="S23" s="697"/>
      <c r="T23" s="697"/>
      <c r="U23" s="698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-3.1250000000000142</v>
      </c>
      <c r="C30" s="218"/>
      <c r="D30" s="219">
        <f>D44</f>
        <v>-2.1250000000000142</v>
      </c>
      <c r="E30" s="220"/>
      <c r="F30" s="221">
        <f>F44</f>
        <v>-2.1250000000000142</v>
      </c>
      <c r="G30" s="221"/>
      <c r="H30" s="217">
        <f>H44</f>
        <v>21.249999999999986</v>
      </c>
      <c r="I30" s="218"/>
      <c r="J30" s="217">
        <f>J44</f>
        <v>-1.5000000000000071</v>
      </c>
      <c r="K30" s="222"/>
      <c r="L30" s="217">
        <f>L44</f>
        <v>11.75</v>
      </c>
      <c r="M30" s="222"/>
      <c r="N30" s="217">
        <f>N44</f>
        <v>-7.5000000000000071</v>
      </c>
      <c r="O30" s="222"/>
      <c r="P30" s="152">
        <f>P44</f>
        <v>-16.625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24" t="s">
        <v>196</v>
      </c>
      <c r="C31" s="445" t="s">
        <v>99</v>
      </c>
      <c r="D31" s="441" t="s">
        <v>23</v>
      </c>
      <c r="E31" s="445" t="s">
        <v>401</v>
      </c>
      <c r="F31" s="419" t="s">
        <v>198</v>
      </c>
      <c r="G31" s="464" t="s">
        <v>99</v>
      </c>
      <c r="H31" s="486" t="s">
        <v>47</v>
      </c>
      <c r="I31" s="464" t="s">
        <v>242</v>
      </c>
      <c r="J31" s="24" t="s">
        <v>14</v>
      </c>
      <c r="K31" s="445" t="s">
        <v>99</v>
      </c>
      <c r="L31" s="456"/>
      <c r="M31" s="464"/>
      <c r="N31" s="622" t="s">
        <v>15</v>
      </c>
      <c r="O31" s="20" t="s">
        <v>587</v>
      </c>
      <c r="P31" s="24"/>
      <c r="Q31" s="448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24" t="s">
        <v>33</v>
      </c>
      <c r="C32" s="107" t="s">
        <v>561</v>
      </c>
      <c r="D32" s="24" t="s">
        <v>585</v>
      </c>
      <c r="E32" s="229" t="s">
        <v>584</v>
      </c>
      <c r="F32" s="457"/>
      <c r="G32" s="229"/>
      <c r="H32" s="24"/>
      <c r="I32" s="445"/>
      <c r="J32" s="24"/>
      <c r="K32" s="229"/>
      <c r="L32" s="441"/>
      <c r="M32" s="229"/>
      <c r="N32" s="457" t="s">
        <v>302</v>
      </c>
      <c r="O32" s="445" t="s">
        <v>242</v>
      </c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241"/>
      <c r="C33" s="107"/>
      <c r="D33" s="242" t="s">
        <v>586</v>
      </c>
      <c r="E33" s="61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548</v>
      </c>
      <c r="T33" s="232" t="s">
        <v>109</v>
      </c>
      <c r="U33" s="247" t="s">
        <v>337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669"/>
      <c r="W40" s="670"/>
      <c r="X40" s="670"/>
      <c r="Y40" s="671"/>
      <c r="Z40" s="302"/>
      <c r="AA40" s="303"/>
    </row>
    <row r="41" spans="1:33" ht="73" thickBot="1">
      <c r="A41" s="304" t="s">
        <v>136</v>
      </c>
      <c r="B41" s="305">
        <f>SUM(B43:T43)</f>
        <v>18.400000000000002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672"/>
      <c r="W41" s="673"/>
      <c r="X41" s="673"/>
      <c r="Y41" s="674"/>
      <c r="Z41" s="302"/>
      <c r="AA41" s="303"/>
    </row>
    <row r="42" spans="1:33" ht="72">
      <c r="A42" s="304" t="s">
        <v>137</v>
      </c>
      <c r="B42" s="294">
        <f>B40/B41</f>
        <v>28.749999999999996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2.5</v>
      </c>
      <c r="C43" s="295"/>
      <c r="D43" s="296">
        <f>E9</f>
        <v>2.5</v>
      </c>
      <c r="E43" s="297"/>
      <c r="F43" s="296">
        <f>G9</f>
        <v>2.5</v>
      </c>
      <c r="G43" s="297"/>
      <c r="H43" s="278">
        <f>I9</f>
        <v>3</v>
      </c>
      <c r="I43" s="299"/>
      <c r="J43" s="278">
        <f>K9</f>
        <v>2</v>
      </c>
      <c r="K43" s="299"/>
      <c r="L43" s="278">
        <f>M9</f>
        <v>2.6</v>
      </c>
      <c r="M43" s="299"/>
      <c r="N43" s="278">
        <f>O9</f>
        <v>2</v>
      </c>
      <c r="O43" s="299"/>
      <c r="P43" s="311">
        <f>Q9</f>
        <v>1.3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-3.1250000000000142</v>
      </c>
      <c r="C44" s="295"/>
      <c r="D44" s="318">
        <f>B40/B41*D43-D45</f>
        <v>-2.1250000000000142</v>
      </c>
      <c r="E44" s="319"/>
      <c r="F44" s="318">
        <f>B40/B41*F43-F45</f>
        <v>-2.1250000000000142</v>
      </c>
      <c r="G44" s="320"/>
      <c r="H44" s="321">
        <f>B40/B41*H43-H45</f>
        <v>21.249999999999986</v>
      </c>
      <c r="I44" s="322"/>
      <c r="J44" s="321">
        <f>B40/B41*J43-J45</f>
        <v>-1.5000000000000071</v>
      </c>
      <c r="K44" s="322"/>
      <c r="L44" s="321">
        <f>B40/B41*L43-L45</f>
        <v>11.75</v>
      </c>
      <c r="M44" s="322"/>
      <c r="N44" s="321">
        <f>B40/B41*N43-N45</f>
        <v>-7.5000000000000071</v>
      </c>
      <c r="O44" s="322"/>
      <c r="P44" s="311">
        <f>B40/B41*P43-P45</f>
        <v>-16.625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313</v>
      </c>
      <c r="K46" s="348">
        <v>59</v>
      </c>
      <c r="L46" s="349" t="s">
        <v>312</v>
      </c>
      <c r="M46" s="348">
        <v>63</v>
      </c>
      <c r="N46" s="349" t="s">
        <v>311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9.85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53.705583756345177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71.874999999999986</v>
      </c>
      <c r="C50" s="354"/>
      <c r="D50" s="354">
        <f>B42*D43</f>
        <v>71.874999999999986</v>
      </c>
      <c r="E50" s="354"/>
      <c r="F50" s="354">
        <f>B42*F43</f>
        <v>71.874999999999986</v>
      </c>
      <c r="G50" s="354"/>
      <c r="H50" s="359">
        <f>B42*H43</f>
        <v>86.249999999999986</v>
      </c>
      <c r="I50" s="354"/>
      <c r="J50" s="354">
        <f>B42*J43</f>
        <v>57.499999999999993</v>
      </c>
      <c r="K50" s="354"/>
      <c r="L50" s="354">
        <f>B42*L43</f>
        <v>74.75</v>
      </c>
      <c r="M50" s="354"/>
      <c r="N50" s="359">
        <f>B42*N43</f>
        <v>57.499999999999993</v>
      </c>
      <c r="O50" s="354"/>
      <c r="P50" s="354">
        <f>B42*P43</f>
        <v>37.375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1.338315217391304</v>
      </c>
      <c r="C51" s="354"/>
      <c r="D51" s="354">
        <f>D50/B49</f>
        <v>1.338315217391304</v>
      </c>
      <c r="E51" s="354"/>
      <c r="F51" s="354">
        <f>F50/B49</f>
        <v>1.338315217391304</v>
      </c>
      <c r="G51" s="354"/>
      <c r="H51" s="354">
        <f>H50/B49</f>
        <v>1.605978260869565</v>
      </c>
      <c r="I51" s="354"/>
      <c r="J51" s="354">
        <f>J50/B49</f>
        <v>1.0706521739130435</v>
      </c>
      <c r="K51" s="354"/>
      <c r="L51" s="354">
        <f>L50/B49</f>
        <v>1.3918478260869565</v>
      </c>
      <c r="M51" s="354"/>
      <c r="N51" s="359">
        <f>N50/B49</f>
        <v>1.0706521739130435</v>
      </c>
      <c r="O51" s="354"/>
      <c r="P51" s="354">
        <f>P50/B49</f>
        <v>0.69592391304347823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324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325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0.5</v>
      </c>
      <c r="D69" s="376" t="s">
        <v>178</v>
      </c>
      <c r="E69" s="376">
        <v>0.25</v>
      </c>
      <c r="F69" s="376">
        <f>Q17</f>
        <v>0.4</v>
      </c>
      <c r="G69" s="380">
        <v>3</v>
      </c>
      <c r="H69" s="376">
        <v>0</v>
      </c>
      <c r="I69" s="377">
        <v>0</v>
      </c>
      <c r="J69" s="376">
        <f>SUM(C69:H69)</f>
        <v>4.1500000000000004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J101"/>
  <sheetViews>
    <sheetView topLeftCell="D3" zoomScale="40" zoomScaleNormal="40" workbookViewId="0">
      <selection activeCell="T4" sqref="T4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45981</v>
      </c>
      <c r="E1" s="3" t="str">
        <f>TEXT(D1, "dddd")</f>
        <v>星期四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82" t="s">
        <v>33</v>
      </c>
      <c r="C3" s="483"/>
      <c r="D3" s="482" t="s">
        <v>25</v>
      </c>
      <c r="E3" s="568"/>
      <c r="F3" s="482" t="s">
        <v>299</v>
      </c>
      <c r="G3" s="485"/>
      <c r="H3" s="486" t="s">
        <v>538</v>
      </c>
      <c r="I3" s="485"/>
      <c r="J3" s="482" t="s">
        <v>297</v>
      </c>
      <c r="K3" s="485"/>
      <c r="L3" s="482" t="s">
        <v>301</v>
      </c>
      <c r="M3" s="485"/>
      <c r="N3" s="482" t="s">
        <v>15</v>
      </c>
      <c r="O3" s="485"/>
      <c r="P3" s="482" t="s">
        <v>28</v>
      </c>
      <c r="Q3" s="483"/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82" t="s">
        <v>22</v>
      </c>
      <c r="C4" s="483"/>
      <c r="D4" s="482" t="s">
        <v>12</v>
      </c>
      <c r="E4" s="485"/>
      <c r="F4" s="482" t="s">
        <v>300</v>
      </c>
      <c r="G4" s="485"/>
      <c r="H4" s="482" t="s">
        <v>308</v>
      </c>
      <c r="I4" s="485"/>
      <c r="J4" s="482" t="s">
        <v>26</v>
      </c>
      <c r="K4" s="488"/>
      <c r="L4" s="482" t="s">
        <v>27</v>
      </c>
      <c r="M4" s="485" t="s">
        <v>607</v>
      </c>
      <c r="N4" s="482" t="s">
        <v>38</v>
      </c>
      <c r="O4" s="485"/>
      <c r="P4" s="482" t="s">
        <v>50</v>
      </c>
      <c r="Q4" s="485"/>
      <c r="R4" s="33" t="s">
        <v>305</v>
      </c>
      <c r="S4" s="34"/>
      <c r="T4" s="34" t="s">
        <v>423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82"/>
      <c r="C5" s="484"/>
      <c r="D5" s="482" t="s">
        <v>34</v>
      </c>
      <c r="E5" s="623"/>
      <c r="F5" s="482" t="s">
        <v>13</v>
      </c>
      <c r="G5" s="26" t="s">
        <v>36</v>
      </c>
      <c r="H5" s="482"/>
      <c r="I5" s="484"/>
      <c r="J5" s="482"/>
      <c r="K5" s="485"/>
      <c r="L5" s="489" t="s">
        <v>315</v>
      </c>
      <c r="M5" s="485"/>
      <c r="N5" s="482" t="s">
        <v>621</v>
      </c>
      <c r="O5" s="485"/>
      <c r="P5" s="482"/>
      <c r="Q5" s="484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82"/>
      <c r="E6" s="485"/>
      <c r="F6" s="482"/>
      <c r="G6" s="485"/>
      <c r="H6" s="482"/>
      <c r="I6" s="484"/>
      <c r="J6" s="482"/>
      <c r="K6" s="485"/>
      <c r="L6" s="482"/>
      <c r="M6" s="483"/>
      <c r="N6" s="482"/>
      <c r="O6" s="484"/>
      <c r="P6" s="482"/>
      <c r="Q6" s="485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82"/>
      <c r="C7" s="485"/>
      <c r="D7" s="482"/>
      <c r="E7" s="485"/>
      <c r="F7" s="482"/>
      <c r="G7" s="487"/>
      <c r="H7" s="482"/>
      <c r="I7" s="485"/>
      <c r="J7" s="482"/>
      <c r="K7" s="483"/>
      <c r="L7" s="490"/>
      <c r="M7" s="483"/>
      <c r="N7" s="482"/>
      <c r="O7" s="485"/>
      <c r="P7" s="491"/>
      <c r="Q7" s="487"/>
      <c r="R7" s="403" t="s">
        <v>605</v>
      </c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92"/>
      <c r="C8" s="493"/>
      <c r="D8" s="492"/>
      <c r="E8" s="485"/>
      <c r="F8" s="482"/>
      <c r="G8" s="484"/>
      <c r="H8" s="482"/>
      <c r="I8" s="484"/>
      <c r="J8" s="492"/>
      <c r="K8" s="494" t="s">
        <v>45</v>
      </c>
      <c r="L8" s="495"/>
      <c r="M8" s="494"/>
      <c r="N8" s="482"/>
      <c r="O8" s="485"/>
      <c r="P8" s="492"/>
      <c r="Q8" s="496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97"/>
      <c r="C9" s="498">
        <v>2</v>
      </c>
      <c r="D9" s="499"/>
      <c r="E9" s="498">
        <v>3</v>
      </c>
      <c r="F9" s="499"/>
      <c r="G9" s="498">
        <v>2.5</v>
      </c>
      <c r="H9" s="500">
        <v>2</v>
      </c>
      <c r="I9" s="498">
        <f>H9-I11</f>
        <v>2</v>
      </c>
      <c r="J9" s="499"/>
      <c r="K9" s="498">
        <v>2</v>
      </c>
      <c r="L9" s="499">
        <v>2.2999999999999998</v>
      </c>
      <c r="M9" s="498">
        <f>L9-M11</f>
        <v>2.0499999999999998</v>
      </c>
      <c r="N9" s="501">
        <v>3</v>
      </c>
      <c r="O9" s="498">
        <f>N9-O11</f>
        <v>3</v>
      </c>
      <c r="P9" s="492">
        <v>2</v>
      </c>
      <c r="Q9" s="502">
        <f>P9-Q11</f>
        <v>1.3</v>
      </c>
      <c r="R9" s="40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503"/>
      <c r="C10" s="504"/>
      <c r="D10" s="501"/>
      <c r="E10" s="505"/>
      <c r="F10" s="506"/>
      <c r="G10" s="507"/>
      <c r="H10" s="508"/>
      <c r="I10" s="505"/>
      <c r="J10" s="503"/>
      <c r="K10" s="509"/>
      <c r="L10" s="510"/>
      <c r="M10" s="509"/>
      <c r="N10" s="482"/>
      <c r="O10" s="484"/>
      <c r="P10" s="492"/>
      <c r="Q10" s="487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511"/>
      <c r="C11" s="512"/>
      <c r="D11" s="513"/>
      <c r="E11" s="514"/>
      <c r="F11" s="515"/>
      <c r="G11" s="512"/>
      <c r="H11" s="516" t="s">
        <v>53</v>
      </c>
      <c r="I11" s="517">
        <v>0</v>
      </c>
      <c r="J11" s="515"/>
      <c r="K11" s="518"/>
      <c r="L11" s="516" t="s">
        <v>53</v>
      </c>
      <c r="M11" s="518">
        <v>0.25</v>
      </c>
      <c r="N11" s="516" t="s">
        <v>53</v>
      </c>
      <c r="O11" s="517">
        <v>0</v>
      </c>
      <c r="P11" s="515" t="s">
        <v>54</v>
      </c>
      <c r="Q11" s="519">
        <v>0.7</v>
      </c>
      <c r="R11" s="92" t="s">
        <v>447</v>
      </c>
      <c r="S11" s="474" t="s">
        <v>542</v>
      </c>
      <c r="T11" s="474" t="s">
        <v>619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627" t="s">
        <v>610</v>
      </c>
      <c r="C12" s="628" t="s">
        <v>213</v>
      </c>
      <c r="D12" s="629" t="s">
        <v>612</v>
      </c>
      <c r="E12" s="628" t="s">
        <v>59</v>
      </c>
      <c r="F12" s="627" t="s">
        <v>613</v>
      </c>
      <c r="G12" s="559" t="s">
        <v>213</v>
      </c>
      <c r="H12" s="629" t="s">
        <v>614</v>
      </c>
      <c r="I12" s="628" t="s">
        <v>609</v>
      </c>
      <c r="J12" s="629" t="s">
        <v>615</v>
      </c>
      <c r="K12" s="559" t="s">
        <v>213</v>
      </c>
      <c r="L12" s="629" t="s">
        <v>616</v>
      </c>
      <c r="M12" s="559" t="s">
        <v>213</v>
      </c>
      <c r="N12" s="630" t="s">
        <v>617</v>
      </c>
      <c r="O12" s="559" t="s">
        <v>213</v>
      </c>
      <c r="P12" s="638" t="s">
        <v>593</v>
      </c>
      <c r="Q12" s="632" t="s">
        <v>213</v>
      </c>
      <c r="R12" s="474" t="s">
        <v>317</v>
      </c>
      <c r="S12" s="474" t="s">
        <v>483</v>
      </c>
      <c r="T12" s="626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633"/>
      <c r="C13" s="634"/>
      <c r="D13" s="636" t="s">
        <v>67</v>
      </c>
      <c r="E13" s="634" t="s">
        <v>194</v>
      </c>
      <c r="F13" s="629" t="s">
        <v>611</v>
      </c>
      <c r="G13" s="634" t="s">
        <v>72</v>
      </c>
      <c r="H13" s="636" t="s">
        <v>67</v>
      </c>
      <c r="I13" s="634" t="s">
        <v>78</v>
      </c>
      <c r="J13" s="631"/>
      <c r="K13" s="635"/>
      <c r="L13" s="636" t="s">
        <v>67</v>
      </c>
      <c r="M13" s="20" t="s">
        <v>74</v>
      </c>
      <c r="N13" s="629" t="s">
        <v>618</v>
      </c>
      <c r="O13" s="559" t="s">
        <v>261</v>
      </c>
      <c r="P13" s="637" t="s">
        <v>620</v>
      </c>
      <c r="Q13" s="634" t="s">
        <v>72</v>
      </c>
      <c r="R13" s="472" t="s">
        <v>326</v>
      </c>
      <c r="S13" s="474" t="s">
        <v>319</v>
      </c>
      <c r="T13" s="55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629"/>
      <c r="C14" s="634"/>
      <c r="D14" s="637"/>
      <c r="E14" s="635"/>
      <c r="F14" s="633"/>
      <c r="G14" s="634"/>
      <c r="H14" s="637"/>
      <c r="I14" s="634"/>
      <c r="J14" s="633"/>
      <c r="K14" s="635"/>
      <c r="L14" s="631"/>
      <c r="M14" s="634"/>
      <c r="N14" s="46"/>
      <c r="P14" s="631"/>
      <c r="Q14" s="634"/>
      <c r="R14" s="472" t="s">
        <v>608</v>
      </c>
      <c r="S14" s="474" t="s">
        <v>356</v>
      </c>
      <c r="T14" s="55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14" customHeight="1">
      <c r="A15" s="40"/>
      <c r="B15" s="535"/>
      <c r="C15" s="537"/>
      <c r="D15" s="538"/>
      <c r="E15" s="528"/>
      <c r="F15" s="532"/>
      <c r="G15" s="534"/>
      <c r="H15" s="608"/>
      <c r="I15" s="602"/>
      <c r="J15" s="46"/>
      <c r="L15" s="24"/>
      <c r="M15" s="590"/>
      <c r="N15" s="535"/>
      <c r="O15" s="590"/>
      <c r="P15" s="506"/>
      <c r="Q15" s="524"/>
      <c r="R15" s="472" t="s">
        <v>321</v>
      </c>
      <c r="S15" s="474" t="s">
        <v>484</v>
      </c>
      <c r="T15" s="55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71"/>
      <c r="C16" s="485"/>
      <c r="D16" s="577"/>
      <c r="E16" s="573"/>
      <c r="F16" s="571"/>
      <c r="G16" s="485"/>
      <c r="H16" s="574"/>
      <c r="I16" s="485"/>
      <c r="J16" s="525"/>
      <c r="K16" s="575"/>
      <c r="L16" s="576"/>
      <c r="M16" s="575"/>
      <c r="N16" s="571"/>
      <c r="O16" s="591"/>
      <c r="P16" s="571"/>
      <c r="Q16" s="540"/>
      <c r="R16" s="471" t="s">
        <v>552</v>
      </c>
      <c r="S16" s="599" t="s">
        <v>541</v>
      </c>
      <c r="T16" s="55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532"/>
      <c r="C17" s="541"/>
      <c r="D17" s="542" t="s">
        <v>249</v>
      </c>
      <c r="E17" s="543" t="s">
        <v>340</v>
      </c>
      <c r="F17" s="577" t="s">
        <v>413</v>
      </c>
      <c r="G17" s="544" t="s">
        <v>78</v>
      </c>
      <c r="H17" s="545"/>
      <c r="I17" s="546"/>
      <c r="J17" s="482"/>
      <c r="K17" s="484"/>
      <c r="L17" s="610" t="s">
        <v>382</v>
      </c>
      <c r="M17" s="546" t="s">
        <v>74</v>
      </c>
      <c r="N17" s="610"/>
      <c r="O17" s="546"/>
      <c r="P17" s="547" t="s">
        <v>54</v>
      </c>
      <c r="Q17" s="548">
        <v>0.4</v>
      </c>
      <c r="R17" s="678" t="s">
        <v>604</v>
      </c>
      <c r="S17" s="679"/>
      <c r="T17" s="680"/>
      <c r="U17" s="681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549">
        <f>B51</f>
        <v>1.0476190476190474</v>
      </c>
      <c r="C18" s="550"/>
      <c r="D18" s="549">
        <f>D51</f>
        <v>1.5714285714285714</v>
      </c>
      <c r="E18" s="551"/>
      <c r="F18" s="549">
        <f>F51</f>
        <v>1.3095238095238095</v>
      </c>
      <c r="G18" s="550"/>
      <c r="H18" s="549">
        <f>H51</f>
        <v>1.0476190476190474</v>
      </c>
      <c r="I18" s="550"/>
      <c r="J18" s="552">
        <f>J51</f>
        <v>1.0476190476190474</v>
      </c>
      <c r="K18" s="550"/>
      <c r="L18" s="552">
        <f>L51</f>
        <v>1.0738095238095235</v>
      </c>
      <c r="M18" s="550"/>
      <c r="N18" s="549">
        <f>N51</f>
        <v>1.5714285714285714</v>
      </c>
      <c r="O18" s="551"/>
      <c r="P18" s="553">
        <f>P51</f>
        <v>0.68095238095238086</v>
      </c>
      <c r="Q18" s="551">
        <f>P18+Q17</f>
        <v>1.0809523809523809</v>
      </c>
      <c r="R18" s="682"/>
      <c r="S18" s="683"/>
      <c r="T18" s="683"/>
      <c r="U18" s="684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65"/>
      <c r="C19" s="566"/>
      <c r="D19" s="565" t="s">
        <v>349</v>
      </c>
      <c r="E19" s="566" t="s">
        <v>624</v>
      </c>
      <c r="F19" s="565"/>
      <c r="G19" s="560"/>
      <c r="H19" s="565"/>
      <c r="I19" s="566"/>
      <c r="J19" s="565"/>
      <c r="K19" s="567"/>
      <c r="L19" s="561"/>
      <c r="M19" s="562"/>
      <c r="N19" s="565" t="s">
        <v>478</v>
      </c>
      <c r="O19" s="566" t="s">
        <v>625</v>
      </c>
      <c r="P19" s="565"/>
      <c r="Q19" s="566"/>
      <c r="R19" s="685" t="s">
        <v>90</v>
      </c>
      <c r="S19" s="686"/>
      <c r="T19" s="686"/>
      <c r="U19" s="687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59"/>
      <c r="C20" s="559"/>
      <c r="D20" s="558"/>
      <c r="E20" s="559"/>
      <c r="F20" s="563"/>
      <c r="G20" s="562"/>
      <c r="H20" s="564"/>
      <c r="I20" s="559"/>
      <c r="J20" s="558"/>
      <c r="K20" s="559"/>
      <c r="L20" s="558"/>
      <c r="M20" s="559"/>
      <c r="N20" s="558" t="s">
        <v>419</v>
      </c>
      <c r="O20" s="559" t="s">
        <v>626</v>
      </c>
      <c r="P20" s="558"/>
      <c r="Q20" s="559"/>
      <c r="R20" s="163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64"/>
      <c r="I21" s="107"/>
      <c r="J21" s="24"/>
      <c r="K21" s="160"/>
      <c r="L21" s="56"/>
      <c r="M21" s="107"/>
      <c r="N21" s="24" t="s">
        <v>473</v>
      </c>
      <c r="O21" s="107" t="s">
        <v>622</v>
      </c>
      <c r="P21" s="24"/>
      <c r="Q21" s="20"/>
      <c r="R21" s="168"/>
      <c r="S21" s="691" t="s">
        <v>93</v>
      </c>
      <c r="T21" s="691"/>
      <c r="U21" s="692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138">
      <c r="A22" s="19"/>
      <c r="D22" s="46"/>
      <c r="F22" s="170"/>
      <c r="G22" s="171"/>
      <c r="H22" s="565"/>
      <c r="I22" s="107"/>
      <c r="J22" s="46"/>
      <c r="L22" s="173" t="s">
        <v>117</v>
      </c>
      <c r="M22" s="172"/>
      <c r="N22" s="558" t="s">
        <v>508</v>
      </c>
      <c r="O22" s="559" t="s">
        <v>623</v>
      </c>
      <c r="P22" s="176"/>
      <c r="Q22" s="177"/>
      <c r="R22" s="693"/>
      <c r="S22" s="694"/>
      <c r="T22" s="694"/>
      <c r="U22" s="695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96"/>
      <c r="S23" s="697"/>
      <c r="T23" s="697"/>
      <c r="U23" s="698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-15.728291316526615</v>
      </c>
      <c r="C30" s="218"/>
      <c r="D30" s="219">
        <f>D44</f>
        <v>14.907563025210081</v>
      </c>
      <c r="E30" s="220"/>
      <c r="F30" s="221">
        <f>F44</f>
        <v>8.9635854341736376E-2</v>
      </c>
      <c r="G30" s="221"/>
      <c r="H30" s="217">
        <f>H44</f>
        <v>-5.7282913165266152</v>
      </c>
      <c r="I30" s="218"/>
      <c r="J30" s="217">
        <f>J44</f>
        <v>0.27170868347338484</v>
      </c>
      <c r="K30" s="222"/>
      <c r="L30" s="217">
        <f>L44</f>
        <v>-2.2464985994397892</v>
      </c>
      <c r="M30" s="222"/>
      <c r="N30" s="217">
        <f>N44</f>
        <v>23.907563025210081</v>
      </c>
      <c r="O30" s="222"/>
      <c r="P30" s="152">
        <f>P44</f>
        <v>-15.473389355742299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24" t="s">
        <v>196</v>
      </c>
      <c r="C31" s="445" t="s">
        <v>99</v>
      </c>
      <c r="D31" s="441" t="s">
        <v>23</v>
      </c>
      <c r="E31" s="445" t="s">
        <v>401</v>
      </c>
      <c r="F31" s="419" t="s">
        <v>198</v>
      </c>
      <c r="G31" s="464" t="s">
        <v>99</v>
      </c>
      <c r="H31" s="486" t="s">
        <v>47</v>
      </c>
      <c r="I31" s="464" t="s">
        <v>242</v>
      </c>
      <c r="J31" s="24" t="s">
        <v>627</v>
      </c>
      <c r="K31" s="445" t="s">
        <v>628</v>
      </c>
      <c r="L31" s="456" t="s">
        <v>27</v>
      </c>
      <c r="M31" s="464" t="s">
        <v>606</v>
      </c>
      <c r="N31" s="457"/>
      <c r="O31" s="445"/>
      <c r="P31" s="24"/>
      <c r="Q31" s="448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24"/>
      <c r="C32" s="107"/>
      <c r="D32" s="24"/>
      <c r="E32" s="229"/>
      <c r="F32" s="457"/>
      <c r="G32" s="229"/>
      <c r="H32" s="482" t="s">
        <v>37</v>
      </c>
      <c r="I32" s="445" t="s">
        <v>242</v>
      </c>
      <c r="J32" s="24"/>
      <c r="K32" s="229"/>
      <c r="L32" s="441"/>
      <c r="M32" s="229"/>
      <c r="N32" s="46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241"/>
      <c r="C33" s="107"/>
      <c r="D33" s="242"/>
      <c r="E33" s="61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548</v>
      </c>
      <c r="T33" s="232" t="s">
        <v>109</v>
      </c>
      <c r="U33" s="247" t="s">
        <v>337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669"/>
      <c r="W40" s="670"/>
      <c r="X40" s="670"/>
      <c r="Y40" s="671"/>
      <c r="Z40" s="302"/>
      <c r="AA40" s="303"/>
    </row>
    <row r="41" spans="1:33" ht="73" thickBot="1">
      <c r="A41" s="304" t="s">
        <v>136</v>
      </c>
      <c r="B41" s="305">
        <f>SUM(B43:T43)</f>
        <v>17.850000000000001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672"/>
      <c r="W41" s="673"/>
      <c r="X41" s="673"/>
      <c r="Y41" s="674"/>
      <c r="Z41" s="302"/>
      <c r="AA41" s="303"/>
    </row>
    <row r="42" spans="1:33" ht="72">
      <c r="A42" s="304" t="s">
        <v>137</v>
      </c>
      <c r="B42" s="294">
        <f>B40/B41</f>
        <v>29.635854341736692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2</v>
      </c>
      <c r="C43" s="295"/>
      <c r="D43" s="296">
        <f>E9</f>
        <v>3</v>
      </c>
      <c r="E43" s="297"/>
      <c r="F43" s="296">
        <f>G9</f>
        <v>2.5</v>
      </c>
      <c r="G43" s="297"/>
      <c r="H43" s="278">
        <f>I9</f>
        <v>2</v>
      </c>
      <c r="I43" s="299"/>
      <c r="J43" s="278">
        <f>K9</f>
        <v>2</v>
      </c>
      <c r="K43" s="299"/>
      <c r="L43" s="278">
        <f>M9</f>
        <v>2.0499999999999998</v>
      </c>
      <c r="M43" s="299"/>
      <c r="N43" s="278">
        <f>O9</f>
        <v>3</v>
      </c>
      <c r="O43" s="299"/>
      <c r="P43" s="311">
        <f>Q9</f>
        <v>1.3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-15.728291316526615</v>
      </c>
      <c r="C44" s="295"/>
      <c r="D44" s="318">
        <f>B40/B41*D43-D45</f>
        <v>14.907563025210081</v>
      </c>
      <c r="E44" s="319"/>
      <c r="F44" s="318">
        <f>B40/B41*F43-F45</f>
        <v>8.9635854341736376E-2</v>
      </c>
      <c r="G44" s="320"/>
      <c r="H44" s="321">
        <f>B40/B41*H43-H45</f>
        <v>-5.7282913165266152</v>
      </c>
      <c r="I44" s="322"/>
      <c r="J44" s="321">
        <f>B40/B41*J43-J45</f>
        <v>0.27170868347338484</v>
      </c>
      <c r="K44" s="322"/>
      <c r="L44" s="321">
        <f>B40/B41*L43-L45</f>
        <v>-2.2464985994397892</v>
      </c>
      <c r="M44" s="322"/>
      <c r="N44" s="321">
        <f>B40/B41*N43-N45</f>
        <v>23.907563025210081</v>
      </c>
      <c r="O44" s="322"/>
      <c r="P44" s="311">
        <f>B40/B41*P43-P45</f>
        <v>-15.473389355742299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313</v>
      </c>
      <c r="K46" s="348">
        <v>59</v>
      </c>
      <c r="L46" s="349" t="s">
        <v>312</v>
      </c>
      <c r="M46" s="348">
        <v>63</v>
      </c>
      <c r="N46" s="349" t="s">
        <v>311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9.35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56.577540106951872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59.271708683473385</v>
      </c>
      <c r="C50" s="354"/>
      <c r="D50" s="354">
        <f>B42*D43</f>
        <v>88.907563025210081</v>
      </c>
      <c r="E50" s="354"/>
      <c r="F50" s="354">
        <f>B42*F43</f>
        <v>74.089635854341736</v>
      </c>
      <c r="G50" s="354"/>
      <c r="H50" s="359">
        <f>B42*H43</f>
        <v>59.271708683473385</v>
      </c>
      <c r="I50" s="354"/>
      <c r="J50" s="354">
        <f>B42*J43</f>
        <v>59.271708683473385</v>
      </c>
      <c r="K50" s="354"/>
      <c r="L50" s="354">
        <f>B42*L43</f>
        <v>60.753501400560211</v>
      </c>
      <c r="M50" s="354"/>
      <c r="N50" s="359">
        <f>B42*N43</f>
        <v>88.907563025210081</v>
      </c>
      <c r="O50" s="354"/>
      <c r="P50" s="354">
        <f>B42*P43</f>
        <v>38.526610644257701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1.0476190476190474</v>
      </c>
      <c r="C51" s="354"/>
      <c r="D51" s="354">
        <f>D50/B49</f>
        <v>1.5714285714285714</v>
      </c>
      <c r="E51" s="354"/>
      <c r="F51" s="354">
        <f>F50/B49</f>
        <v>1.3095238095238095</v>
      </c>
      <c r="G51" s="354"/>
      <c r="H51" s="354">
        <f>H50/B49</f>
        <v>1.0476190476190474</v>
      </c>
      <c r="I51" s="354"/>
      <c r="J51" s="354">
        <f>J50/B49</f>
        <v>1.0476190476190474</v>
      </c>
      <c r="K51" s="354"/>
      <c r="L51" s="354">
        <f>L50/B49</f>
        <v>1.0738095238095235</v>
      </c>
      <c r="M51" s="354"/>
      <c r="N51" s="359">
        <f>N50/B49</f>
        <v>1.5714285714285714</v>
      </c>
      <c r="O51" s="354"/>
      <c r="P51" s="354">
        <f>P50/B49</f>
        <v>0.68095238095238086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324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325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0.25</v>
      </c>
      <c r="F69" s="376">
        <f>Q17</f>
        <v>0.4</v>
      </c>
      <c r="G69" s="380">
        <v>3.25</v>
      </c>
      <c r="H69" s="376">
        <v>0</v>
      </c>
      <c r="I69" s="377">
        <v>0</v>
      </c>
      <c r="J69" s="376">
        <f>SUM(C69:H69)</f>
        <v>4.6500000000000004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J101"/>
  <sheetViews>
    <sheetView zoomScale="16" zoomScaleNormal="16" workbookViewId="0">
      <selection activeCell="O23" sqref="O23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45982</v>
      </c>
      <c r="E1" s="3" t="str">
        <f>TEXT(D1, "dddd")</f>
        <v>星期五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82" t="s">
        <v>33</v>
      </c>
      <c r="C3" s="483"/>
      <c r="D3" s="482" t="s">
        <v>25</v>
      </c>
      <c r="E3" s="568"/>
      <c r="F3" s="482" t="s">
        <v>299</v>
      </c>
      <c r="G3" s="485"/>
      <c r="H3" s="486" t="s">
        <v>538</v>
      </c>
      <c r="I3" s="485"/>
      <c r="J3" s="482" t="s">
        <v>297</v>
      </c>
      <c r="K3" s="485"/>
      <c r="L3" s="482" t="s">
        <v>301</v>
      </c>
      <c r="M3" s="485"/>
      <c r="N3" s="482" t="s">
        <v>15</v>
      </c>
      <c r="O3" s="485"/>
      <c r="P3" s="482" t="s">
        <v>50</v>
      </c>
      <c r="Q3" s="483"/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82" t="s">
        <v>22</v>
      </c>
      <c r="C4" s="483"/>
      <c r="D4" s="482" t="s">
        <v>16</v>
      </c>
      <c r="E4" s="485" t="s">
        <v>188</v>
      </c>
      <c r="F4" s="482" t="s">
        <v>300</v>
      </c>
      <c r="G4" s="485"/>
      <c r="H4" s="482" t="s">
        <v>308</v>
      </c>
      <c r="I4" s="485"/>
      <c r="J4" s="482" t="s">
        <v>14</v>
      </c>
      <c r="K4" s="488"/>
      <c r="L4" s="482" t="s">
        <v>27</v>
      </c>
      <c r="M4" s="485"/>
      <c r="N4" s="482" t="s">
        <v>38</v>
      </c>
      <c r="O4" s="485"/>
      <c r="P4" s="482" t="s">
        <v>26</v>
      </c>
      <c r="Q4" s="485"/>
      <c r="R4" s="33" t="s">
        <v>305</v>
      </c>
      <c r="S4" s="34"/>
      <c r="T4" s="34" t="s">
        <v>423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82" t="s">
        <v>13</v>
      </c>
      <c r="C5" s="485" t="s">
        <v>446</v>
      </c>
      <c r="D5" s="482" t="s">
        <v>424</v>
      </c>
      <c r="E5" s="484">
        <v>0.75</v>
      </c>
      <c r="F5" s="482" t="s">
        <v>402</v>
      </c>
      <c r="G5" s="485" t="s">
        <v>574</v>
      </c>
      <c r="H5" s="482"/>
      <c r="I5" s="484"/>
      <c r="J5" s="482"/>
      <c r="K5" s="485"/>
      <c r="L5" s="489" t="s">
        <v>315</v>
      </c>
      <c r="M5" s="485"/>
      <c r="N5" s="482" t="s">
        <v>621</v>
      </c>
      <c r="O5" s="485"/>
      <c r="P5" s="482"/>
      <c r="Q5" s="484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82"/>
      <c r="E6" s="485"/>
      <c r="F6" s="482" t="s">
        <v>638</v>
      </c>
      <c r="G6" s="485" t="s">
        <v>188</v>
      </c>
      <c r="H6" s="482"/>
      <c r="I6" s="484"/>
      <c r="J6" s="482"/>
      <c r="K6" s="485"/>
      <c r="L6" s="482"/>
      <c r="M6" s="483"/>
      <c r="N6" s="482"/>
      <c r="O6" s="484"/>
      <c r="P6" s="482"/>
      <c r="Q6" s="485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82"/>
      <c r="C7" s="485"/>
      <c r="D7" s="482"/>
      <c r="E7" s="485"/>
      <c r="F7" s="482"/>
      <c r="G7" s="487"/>
      <c r="H7" s="482"/>
      <c r="I7" s="485"/>
      <c r="J7" s="482"/>
      <c r="K7" s="483"/>
      <c r="L7" s="490"/>
      <c r="M7" s="483"/>
      <c r="N7" s="482"/>
      <c r="O7" s="485"/>
      <c r="P7" s="491"/>
      <c r="Q7" s="487"/>
      <c r="R7" s="403" t="s">
        <v>605</v>
      </c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92"/>
      <c r="C8" s="493"/>
      <c r="D8" s="492"/>
      <c r="E8" s="485"/>
      <c r="F8" s="482"/>
      <c r="G8" s="484"/>
      <c r="H8" s="482"/>
      <c r="I8" s="484"/>
      <c r="J8" s="492"/>
      <c r="K8" s="494" t="s">
        <v>45</v>
      </c>
      <c r="L8" s="495"/>
      <c r="M8" s="494"/>
      <c r="N8" s="482"/>
      <c r="O8" s="485"/>
      <c r="P8" s="492"/>
      <c r="Q8" s="496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97"/>
      <c r="C9" s="498">
        <v>2.5</v>
      </c>
      <c r="D9" s="499"/>
      <c r="E9" s="498">
        <v>2.25</v>
      </c>
      <c r="F9" s="499"/>
      <c r="G9" s="498">
        <v>2.75</v>
      </c>
      <c r="H9" s="500">
        <v>2</v>
      </c>
      <c r="I9" s="498">
        <f>H9-I11</f>
        <v>2</v>
      </c>
      <c r="J9" s="499"/>
      <c r="K9" s="498">
        <v>2</v>
      </c>
      <c r="L9" s="499">
        <v>3</v>
      </c>
      <c r="M9" s="498">
        <f>L9-M11</f>
        <v>3</v>
      </c>
      <c r="N9" s="501">
        <v>3</v>
      </c>
      <c r="O9" s="498">
        <f>N9-O11</f>
        <v>2.6</v>
      </c>
      <c r="P9" s="492">
        <v>2</v>
      </c>
      <c r="Q9" s="502">
        <f>P9-Q11</f>
        <v>1.3</v>
      </c>
      <c r="R9" s="40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503"/>
      <c r="C10" s="504"/>
      <c r="D10" s="501"/>
      <c r="E10" s="505"/>
      <c r="F10" s="506"/>
      <c r="G10" s="507"/>
      <c r="H10" s="508"/>
      <c r="I10" s="505"/>
      <c r="J10" s="503"/>
      <c r="K10" s="509"/>
      <c r="L10" s="510"/>
      <c r="M10" s="509"/>
      <c r="N10" s="482"/>
      <c r="O10" s="484"/>
      <c r="P10" s="492"/>
      <c r="Q10" s="487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511"/>
      <c r="C11" s="512"/>
      <c r="D11" s="513"/>
      <c r="E11" s="514"/>
      <c r="F11" s="515"/>
      <c r="G11" s="512"/>
      <c r="H11" s="516" t="s">
        <v>53</v>
      </c>
      <c r="I11" s="517">
        <v>0</v>
      </c>
      <c r="J11" s="515"/>
      <c r="K11" s="518"/>
      <c r="L11" s="516" t="s">
        <v>53</v>
      </c>
      <c r="M11" s="518">
        <v>0</v>
      </c>
      <c r="N11" s="516" t="s">
        <v>53</v>
      </c>
      <c r="O11" s="517">
        <v>0.4</v>
      </c>
      <c r="P11" s="515" t="s">
        <v>54</v>
      </c>
      <c r="Q11" s="519">
        <v>0.7</v>
      </c>
      <c r="R11" s="92" t="s">
        <v>447</v>
      </c>
      <c r="S11" s="595" t="s">
        <v>542</v>
      </c>
      <c r="T11" s="474" t="s">
        <v>619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627" t="s">
        <v>610</v>
      </c>
      <c r="C12" s="628" t="s">
        <v>213</v>
      </c>
      <c r="D12" s="629" t="s">
        <v>612</v>
      </c>
      <c r="E12" s="628" t="s">
        <v>59</v>
      </c>
      <c r="F12" s="627" t="s">
        <v>613</v>
      </c>
      <c r="G12" s="559" t="s">
        <v>213</v>
      </c>
      <c r="H12" s="629" t="s">
        <v>614</v>
      </c>
      <c r="I12" s="628" t="s">
        <v>39</v>
      </c>
      <c r="J12" s="629" t="s">
        <v>615</v>
      </c>
      <c r="K12" s="559" t="s">
        <v>213</v>
      </c>
      <c r="L12" s="629" t="s">
        <v>616</v>
      </c>
      <c r="M12" s="559" t="s">
        <v>213</v>
      </c>
      <c r="N12" s="630" t="s">
        <v>617</v>
      </c>
      <c r="O12" s="559" t="s">
        <v>213</v>
      </c>
      <c r="P12" s="639" t="s">
        <v>630</v>
      </c>
      <c r="Q12" s="632" t="s">
        <v>213</v>
      </c>
      <c r="R12" s="641" t="s">
        <v>632</v>
      </c>
      <c r="S12" s="641" t="s">
        <v>637</v>
      </c>
      <c r="T12" s="47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636" t="s">
        <v>67</v>
      </c>
      <c r="C13" s="634" t="s">
        <v>78</v>
      </c>
      <c r="D13" s="636" t="s">
        <v>67</v>
      </c>
      <c r="E13" s="634" t="s">
        <v>87</v>
      </c>
      <c r="F13" s="636" t="s">
        <v>67</v>
      </c>
      <c r="G13" s="634" t="s">
        <v>72</v>
      </c>
      <c r="H13" s="629" t="s">
        <v>618</v>
      </c>
      <c r="I13" s="634" t="s">
        <v>36</v>
      </c>
      <c r="J13" s="631"/>
      <c r="K13" s="635"/>
      <c r="L13" s="636" t="s">
        <v>67</v>
      </c>
      <c r="M13" s="634" t="s">
        <v>74</v>
      </c>
      <c r="N13" s="638" t="s">
        <v>593</v>
      </c>
      <c r="O13" s="634" t="s">
        <v>78</v>
      </c>
      <c r="P13" s="638"/>
      <c r="Q13" s="634"/>
      <c r="R13" s="472" t="s">
        <v>326</v>
      </c>
      <c r="S13" s="595" t="s">
        <v>319</v>
      </c>
      <c r="T13" s="640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636"/>
      <c r="C14" s="634"/>
      <c r="D14" s="637" t="s">
        <v>631</v>
      </c>
      <c r="E14" s="559" t="s">
        <v>633</v>
      </c>
      <c r="F14" s="638" t="s">
        <v>593</v>
      </c>
      <c r="G14" s="634" t="s">
        <v>87</v>
      </c>
      <c r="H14" s="629"/>
      <c r="I14" s="559"/>
      <c r="J14" s="633"/>
      <c r="K14" s="635"/>
      <c r="L14" s="638" t="s">
        <v>593</v>
      </c>
      <c r="M14" s="634" t="s">
        <v>72</v>
      </c>
      <c r="N14" s="629" t="s">
        <v>618</v>
      </c>
      <c r="O14" s="634" t="s">
        <v>87</v>
      </c>
      <c r="P14" s="631"/>
      <c r="Q14" s="634"/>
      <c r="R14" s="472" t="s">
        <v>634</v>
      </c>
      <c r="S14" s="474" t="s">
        <v>356</v>
      </c>
      <c r="T14" s="55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35"/>
      <c r="C15" s="537"/>
      <c r="D15" s="637"/>
      <c r="E15" s="559"/>
      <c r="F15" s="532"/>
      <c r="G15" s="534"/>
      <c r="H15" s="608"/>
      <c r="I15" s="602"/>
      <c r="J15" s="46"/>
      <c r="L15" s="638"/>
      <c r="M15" s="634"/>
      <c r="N15" s="535"/>
      <c r="O15" s="590"/>
      <c r="P15" s="506"/>
      <c r="Q15" s="524"/>
      <c r="R15" s="472" t="s">
        <v>321</v>
      </c>
      <c r="S15" s="474" t="s">
        <v>484</v>
      </c>
      <c r="T15" s="55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71"/>
      <c r="C16" s="485"/>
      <c r="D16" s="577"/>
      <c r="E16" s="573"/>
      <c r="F16" s="571"/>
      <c r="G16" s="485"/>
      <c r="H16" s="574"/>
      <c r="I16" s="485"/>
      <c r="J16" s="525"/>
      <c r="K16" s="575"/>
      <c r="L16" s="576"/>
      <c r="M16" s="575"/>
      <c r="N16" s="571"/>
      <c r="O16" s="591"/>
      <c r="P16" s="571"/>
      <c r="Q16" s="540"/>
      <c r="R16" s="471" t="s">
        <v>237</v>
      </c>
      <c r="S16" s="599" t="s">
        <v>541</v>
      </c>
      <c r="T16" s="55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532"/>
      <c r="C17" s="541"/>
      <c r="D17" s="642" t="s">
        <v>593</v>
      </c>
      <c r="E17" s="543" t="s">
        <v>74</v>
      </c>
      <c r="F17" s="577" t="s">
        <v>413</v>
      </c>
      <c r="G17" s="544" t="s">
        <v>36</v>
      </c>
      <c r="H17" s="545"/>
      <c r="I17" s="546"/>
      <c r="J17" s="482"/>
      <c r="K17" s="484"/>
      <c r="L17" s="610"/>
      <c r="M17" s="546"/>
      <c r="N17" s="610" t="s">
        <v>382</v>
      </c>
      <c r="O17" s="546" t="s">
        <v>74</v>
      </c>
      <c r="P17" s="547" t="s">
        <v>54</v>
      </c>
      <c r="Q17" s="548">
        <v>0.4</v>
      </c>
      <c r="R17" s="678" t="s">
        <v>635</v>
      </c>
      <c r="S17" s="679"/>
      <c r="T17" s="680"/>
      <c r="U17" s="681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549">
        <f>B51</f>
        <v>1.3043478260869561</v>
      </c>
      <c r="C18" s="550"/>
      <c r="D18" s="549">
        <f>D51</f>
        <v>1.1739130434782605</v>
      </c>
      <c r="E18" s="551"/>
      <c r="F18" s="549">
        <f>F51</f>
        <v>1.4347826086956519</v>
      </c>
      <c r="G18" s="550"/>
      <c r="H18" s="549">
        <f>H51</f>
        <v>1.043478260869565</v>
      </c>
      <c r="I18" s="550"/>
      <c r="J18" s="552">
        <f>J51</f>
        <v>1.043478260869565</v>
      </c>
      <c r="K18" s="550"/>
      <c r="L18" s="552">
        <f>L51</f>
        <v>1.5652173913043474</v>
      </c>
      <c r="M18" s="550"/>
      <c r="N18" s="549">
        <f>N51</f>
        <v>1.3565217391304347</v>
      </c>
      <c r="O18" s="551"/>
      <c r="P18" s="553">
        <f>P51</f>
        <v>0.67826086956521736</v>
      </c>
      <c r="Q18" s="551">
        <f>P18+Q17</f>
        <v>1.0782608695652174</v>
      </c>
      <c r="R18" s="682"/>
      <c r="S18" s="683"/>
      <c r="T18" s="683"/>
      <c r="U18" s="684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65"/>
      <c r="C19" s="566"/>
      <c r="D19" s="565"/>
      <c r="E19" s="566"/>
      <c r="F19" s="565" t="s">
        <v>478</v>
      </c>
      <c r="G19" s="560" t="s">
        <v>641</v>
      </c>
      <c r="H19" s="565"/>
      <c r="I19" s="566"/>
      <c r="J19" s="565"/>
      <c r="K19" s="567"/>
      <c r="L19" s="561" t="s">
        <v>349</v>
      </c>
      <c r="M19" s="559" t="s">
        <v>642</v>
      </c>
      <c r="N19" s="565" t="s">
        <v>415</v>
      </c>
      <c r="O19" s="566" t="s">
        <v>640</v>
      </c>
      <c r="P19" s="565"/>
      <c r="Q19" s="566"/>
      <c r="R19" s="685" t="s">
        <v>90</v>
      </c>
      <c r="S19" s="686"/>
      <c r="T19" s="686"/>
      <c r="U19" s="687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59"/>
      <c r="C20" s="559"/>
      <c r="D20" s="558"/>
      <c r="E20" s="559"/>
      <c r="F20" s="563"/>
      <c r="G20" s="562"/>
      <c r="H20" s="564"/>
      <c r="I20" s="559"/>
      <c r="J20" s="558"/>
      <c r="K20" s="559"/>
      <c r="L20" s="561" t="s">
        <v>508</v>
      </c>
      <c r="M20" s="559" t="s">
        <v>639</v>
      </c>
      <c r="N20" s="558"/>
      <c r="O20" s="559"/>
      <c r="P20" s="558"/>
      <c r="Q20" s="559"/>
      <c r="R20" s="163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64"/>
      <c r="I21" s="107"/>
      <c r="J21" s="24"/>
      <c r="K21" s="160"/>
      <c r="L21" s="561"/>
      <c r="M21" s="559"/>
      <c r="N21" s="24"/>
      <c r="O21" s="107"/>
      <c r="P21" s="24"/>
      <c r="Q21" s="20"/>
      <c r="R21" s="168"/>
      <c r="S21" s="691" t="s">
        <v>93</v>
      </c>
      <c r="T21" s="691"/>
      <c r="U21" s="692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65"/>
      <c r="I22" s="107"/>
      <c r="J22" s="46"/>
      <c r="L22" s="173" t="s">
        <v>117</v>
      </c>
      <c r="M22" s="172"/>
      <c r="N22" s="558"/>
      <c r="O22" s="559"/>
      <c r="P22" s="176"/>
      <c r="Q22" s="177"/>
      <c r="R22" s="693"/>
      <c r="S22" s="694"/>
      <c r="T22" s="694"/>
      <c r="U22" s="695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96"/>
      <c r="S23" s="697"/>
      <c r="T23" s="697"/>
      <c r="U23" s="698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-3.1250000000000142</v>
      </c>
      <c r="C30" s="218"/>
      <c r="D30" s="219">
        <f>D44</f>
        <v>-9.3125000000000142</v>
      </c>
      <c r="E30" s="220"/>
      <c r="F30" s="221">
        <f>F44</f>
        <v>5.0624999999999858</v>
      </c>
      <c r="G30" s="221"/>
      <c r="H30" s="217">
        <f>H44</f>
        <v>-7.5000000000000071</v>
      </c>
      <c r="I30" s="218"/>
      <c r="J30" s="217">
        <f>J44</f>
        <v>-1.5000000000000071</v>
      </c>
      <c r="K30" s="222"/>
      <c r="L30" s="217">
        <f>L44</f>
        <v>23.249999999999986</v>
      </c>
      <c r="M30" s="222"/>
      <c r="N30" s="217">
        <f>N44</f>
        <v>9.75</v>
      </c>
      <c r="O30" s="222"/>
      <c r="P30" s="152">
        <f>P44</f>
        <v>-16.625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24" t="s">
        <v>196</v>
      </c>
      <c r="C31" s="445" t="s">
        <v>99</v>
      </c>
      <c r="D31" s="441" t="s">
        <v>23</v>
      </c>
      <c r="E31" s="445" t="s">
        <v>401</v>
      </c>
      <c r="F31" s="419" t="s">
        <v>198</v>
      </c>
      <c r="G31" s="464" t="s">
        <v>99</v>
      </c>
      <c r="H31" s="486" t="s">
        <v>47</v>
      </c>
      <c r="I31" s="464" t="s">
        <v>242</v>
      </c>
      <c r="J31" s="24"/>
      <c r="K31" s="445"/>
      <c r="L31" s="456"/>
      <c r="M31" s="464"/>
      <c r="N31" s="457"/>
      <c r="O31" s="445"/>
      <c r="P31" s="24" t="s">
        <v>28</v>
      </c>
      <c r="Q31" s="445" t="s">
        <v>629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24"/>
      <c r="C32" s="107"/>
      <c r="D32" s="24" t="s">
        <v>12</v>
      </c>
      <c r="E32" s="229" t="s">
        <v>242</v>
      </c>
      <c r="F32" s="457"/>
      <c r="G32" s="229"/>
      <c r="H32" s="482" t="s">
        <v>37</v>
      </c>
      <c r="I32" s="445" t="s">
        <v>242</v>
      </c>
      <c r="J32" s="24"/>
      <c r="K32" s="229"/>
      <c r="L32" s="441"/>
      <c r="M32" s="229"/>
      <c r="N32" s="46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241"/>
      <c r="C33" s="107"/>
      <c r="D33" s="242" t="s">
        <v>636</v>
      </c>
      <c r="E33" s="613" t="s">
        <v>242</v>
      </c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548</v>
      </c>
      <c r="T33" s="232" t="s">
        <v>109</v>
      </c>
      <c r="U33" s="247" t="s">
        <v>337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669"/>
      <c r="W40" s="670"/>
      <c r="X40" s="670"/>
      <c r="Y40" s="671"/>
      <c r="Z40" s="302"/>
      <c r="AA40" s="303"/>
    </row>
    <row r="41" spans="1:33" ht="73" thickBot="1">
      <c r="A41" s="304" t="s">
        <v>136</v>
      </c>
      <c r="B41" s="305">
        <f>SUM(B43:T43)</f>
        <v>18.400000000000002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672"/>
      <c r="W41" s="673"/>
      <c r="X41" s="673"/>
      <c r="Y41" s="674"/>
      <c r="Z41" s="302"/>
      <c r="AA41" s="303"/>
    </row>
    <row r="42" spans="1:33" ht="72">
      <c r="A42" s="304" t="s">
        <v>137</v>
      </c>
      <c r="B42" s="294">
        <f>B40/B41</f>
        <v>28.749999999999996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2.5</v>
      </c>
      <c r="C43" s="295"/>
      <c r="D43" s="296">
        <f>E9</f>
        <v>2.25</v>
      </c>
      <c r="E43" s="297"/>
      <c r="F43" s="296">
        <f>G9</f>
        <v>2.75</v>
      </c>
      <c r="G43" s="297"/>
      <c r="H43" s="278">
        <f>I9</f>
        <v>2</v>
      </c>
      <c r="I43" s="299"/>
      <c r="J43" s="278">
        <f>K9</f>
        <v>2</v>
      </c>
      <c r="K43" s="299"/>
      <c r="L43" s="278">
        <f>M9</f>
        <v>3</v>
      </c>
      <c r="M43" s="299"/>
      <c r="N43" s="278">
        <f>O9</f>
        <v>2.6</v>
      </c>
      <c r="O43" s="299"/>
      <c r="P43" s="311">
        <f>Q9</f>
        <v>1.3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-3.1250000000000142</v>
      </c>
      <c r="C44" s="295"/>
      <c r="D44" s="318">
        <f>B40/B41*D43-D45</f>
        <v>-9.3125000000000142</v>
      </c>
      <c r="E44" s="319"/>
      <c r="F44" s="318">
        <f>B40/B41*F43-F45</f>
        <v>5.0624999999999858</v>
      </c>
      <c r="G44" s="320"/>
      <c r="H44" s="321">
        <f>B40/B41*H43-H45</f>
        <v>-7.5000000000000071</v>
      </c>
      <c r="I44" s="322"/>
      <c r="J44" s="321">
        <f>B40/B41*J43-J45</f>
        <v>-1.5000000000000071</v>
      </c>
      <c r="K44" s="322"/>
      <c r="L44" s="321">
        <f>B40/B41*L43-L45</f>
        <v>23.249999999999986</v>
      </c>
      <c r="M44" s="322"/>
      <c r="N44" s="321">
        <f>B40/B41*N43-N45</f>
        <v>9.75</v>
      </c>
      <c r="O44" s="322"/>
      <c r="P44" s="311">
        <f>B40/B41*P43-P45</f>
        <v>-16.625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313</v>
      </c>
      <c r="K46" s="348">
        <v>59</v>
      </c>
      <c r="L46" s="349" t="s">
        <v>312</v>
      </c>
      <c r="M46" s="348">
        <v>63</v>
      </c>
      <c r="N46" s="349" t="s">
        <v>311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9.6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55.104166666666671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71.874999999999986</v>
      </c>
      <c r="C50" s="354"/>
      <c r="D50" s="354">
        <f>B42*D43</f>
        <v>64.687499999999986</v>
      </c>
      <c r="E50" s="354"/>
      <c r="F50" s="354">
        <f>B42*F43</f>
        <v>79.062499999999986</v>
      </c>
      <c r="G50" s="354"/>
      <c r="H50" s="359">
        <f>B42*H43</f>
        <v>57.499999999999993</v>
      </c>
      <c r="I50" s="354"/>
      <c r="J50" s="354">
        <f>B42*J43</f>
        <v>57.499999999999993</v>
      </c>
      <c r="K50" s="354"/>
      <c r="L50" s="354">
        <f>B42*L43</f>
        <v>86.249999999999986</v>
      </c>
      <c r="M50" s="354"/>
      <c r="N50" s="359">
        <f>B42*N43</f>
        <v>74.75</v>
      </c>
      <c r="O50" s="354"/>
      <c r="P50" s="354">
        <f>B42*P43</f>
        <v>37.375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1.3043478260869561</v>
      </c>
      <c r="C51" s="354"/>
      <c r="D51" s="354">
        <f>D50/B49</f>
        <v>1.1739130434782605</v>
      </c>
      <c r="E51" s="354"/>
      <c r="F51" s="354">
        <f>F50/B49</f>
        <v>1.4347826086956519</v>
      </c>
      <c r="G51" s="354"/>
      <c r="H51" s="354">
        <f>H50/B49</f>
        <v>1.043478260869565</v>
      </c>
      <c r="I51" s="354"/>
      <c r="J51" s="354">
        <f>J50/B49</f>
        <v>1.043478260869565</v>
      </c>
      <c r="K51" s="354"/>
      <c r="L51" s="354">
        <f>L50/B49</f>
        <v>1.5652173913043474</v>
      </c>
      <c r="M51" s="354"/>
      <c r="N51" s="359">
        <f>N50/B49</f>
        <v>1.3565217391304347</v>
      </c>
      <c r="O51" s="354"/>
      <c r="P51" s="354">
        <f>P50/B49</f>
        <v>0.67826086956521736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324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325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0.25</v>
      </c>
      <c r="F69" s="376">
        <f>Q17</f>
        <v>0.4</v>
      </c>
      <c r="G69" s="380">
        <v>3</v>
      </c>
      <c r="H69" s="376">
        <v>0</v>
      </c>
      <c r="I69" s="377">
        <v>0</v>
      </c>
      <c r="J69" s="376">
        <f>SUM(C69:H69)</f>
        <v>4.4000000000000004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J101"/>
  <sheetViews>
    <sheetView zoomScale="20" zoomScaleNormal="20" workbookViewId="0">
      <selection activeCell="D14" sqref="D14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45985</v>
      </c>
      <c r="E1" s="3" t="str">
        <f>TEXT(D1, "dddd")</f>
        <v>星期一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82" t="s">
        <v>196</v>
      </c>
      <c r="C3" s="483"/>
      <c r="D3" s="482" t="s">
        <v>25</v>
      </c>
      <c r="E3" s="568"/>
      <c r="F3" s="482" t="s">
        <v>299</v>
      </c>
      <c r="G3" s="485"/>
      <c r="H3" s="486" t="s">
        <v>538</v>
      </c>
      <c r="I3" s="485"/>
      <c r="J3" s="482" t="s">
        <v>297</v>
      </c>
      <c r="K3" s="485"/>
      <c r="L3" s="482" t="s">
        <v>301</v>
      </c>
      <c r="M3" s="485"/>
      <c r="N3" s="482" t="s">
        <v>15</v>
      </c>
      <c r="O3" s="485"/>
      <c r="P3" s="482" t="s">
        <v>28</v>
      </c>
      <c r="Q3" s="483"/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82" t="s">
        <v>33</v>
      </c>
      <c r="C4" s="483"/>
      <c r="D4" s="482" t="s">
        <v>34</v>
      </c>
      <c r="E4" s="485"/>
      <c r="F4" s="482" t="s">
        <v>300</v>
      </c>
      <c r="G4" s="485"/>
      <c r="H4" s="482" t="s">
        <v>308</v>
      </c>
      <c r="I4" s="485"/>
      <c r="J4" s="482" t="s">
        <v>26</v>
      </c>
      <c r="K4" s="488"/>
      <c r="L4" s="482" t="s">
        <v>27</v>
      </c>
      <c r="M4" s="485"/>
      <c r="N4" s="482" t="s">
        <v>38</v>
      </c>
      <c r="O4" s="485"/>
      <c r="P4" s="482" t="s">
        <v>50</v>
      </c>
      <c r="Q4" s="485"/>
      <c r="R4" s="33" t="s">
        <v>305</v>
      </c>
      <c r="S4" s="34"/>
      <c r="T4" s="34" t="s">
        <v>423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82" t="s">
        <v>645</v>
      </c>
      <c r="C5" s="485" t="s">
        <v>39</v>
      </c>
      <c r="D5" s="482" t="s">
        <v>23</v>
      </c>
      <c r="E5" s="484"/>
      <c r="F5" s="482"/>
      <c r="G5" s="485"/>
      <c r="H5" s="482" t="s">
        <v>37</v>
      </c>
      <c r="I5" s="484"/>
      <c r="J5" s="482"/>
      <c r="K5" s="485"/>
      <c r="L5" s="489" t="s">
        <v>315</v>
      </c>
      <c r="M5" s="485"/>
      <c r="N5" s="482" t="s">
        <v>621</v>
      </c>
      <c r="O5" s="485"/>
      <c r="P5" s="482"/>
      <c r="Q5" s="484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82"/>
      <c r="E6" s="485"/>
      <c r="F6" s="482"/>
      <c r="G6" s="485"/>
      <c r="H6" s="482"/>
      <c r="I6" s="484"/>
      <c r="J6" s="482"/>
      <c r="K6" s="485"/>
      <c r="L6" s="482"/>
      <c r="M6" s="483"/>
      <c r="N6" s="482"/>
      <c r="O6" s="484"/>
      <c r="P6" s="482"/>
      <c r="Q6" s="485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82"/>
      <c r="C7" s="485"/>
      <c r="D7" s="482"/>
      <c r="E7" s="485"/>
      <c r="F7" s="482"/>
      <c r="G7" s="487"/>
      <c r="H7" s="482"/>
      <c r="I7" s="485"/>
      <c r="J7" s="482"/>
      <c r="K7" s="483"/>
      <c r="L7" s="490"/>
      <c r="M7" s="483"/>
      <c r="N7" s="482"/>
      <c r="O7" s="485"/>
      <c r="P7" s="491"/>
      <c r="Q7" s="487"/>
      <c r="R7" s="403" t="s">
        <v>246</v>
      </c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92"/>
      <c r="C8" s="493"/>
      <c r="D8" s="492"/>
      <c r="E8" s="485"/>
      <c r="F8" s="482"/>
      <c r="G8" s="484"/>
      <c r="H8" s="482"/>
      <c r="I8" s="484"/>
      <c r="J8" s="492"/>
      <c r="K8" s="494" t="s">
        <v>45</v>
      </c>
      <c r="L8" s="495"/>
      <c r="M8" s="494"/>
      <c r="N8" s="482"/>
      <c r="O8" s="485"/>
      <c r="P8" s="492"/>
      <c r="Q8" s="496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97"/>
      <c r="C9" s="498">
        <v>2.5</v>
      </c>
      <c r="D9" s="499"/>
      <c r="E9" s="498">
        <v>3</v>
      </c>
      <c r="F9" s="499"/>
      <c r="G9" s="498">
        <v>2</v>
      </c>
      <c r="H9" s="500">
        <v>3</v>
      </c>
      <c r="I9" s="498">
        <f>H9-I11</f>
        <v>3</v>
      </c>
      <c r="J9" s="499"/>
      <c r="K9" s="498">
        <v>2</v>
      </c>
      <c r="L9" s="499">
        <v>3</v>
      </c>
      <c r="M9" s="498">
        <f>L9-M11</f>
        <v>3</v>
      </c>
      <c r="N9" s="501">
        <v>3</v>
      </c>
      <c r="O9" s="498">
        <f>N9-O11</f>
        <v>2.6</v>
      </c>
      <c r="P9" s="492">
        <v>2</v>
      </c>
      <c r="Q9" s="502">
        <f>P9-Q11</f>
        <v>1.3</v>
      </c>
      <c r="R9" s="40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503"/>
      <c r="C10" s="504"/>
      <c r="D10" s="501"/>
      <c r="E10" s="505"/>
      <c r="F10" s="506"/>
      <c r="G10" s="507"/>
      <c r="H10" s="508"/>
      <c r="I10" s="505"/>
      <c r="J10" s="503"/>
      <c r="K10" s="509"/>
      <c r="L10" s="510"/>
      <c r="M10" s="509"/>
      <c r="N10" s="482"/>
      <c r="O10" s="484"/>
      <c r="P10" s="492"/>
      <c r="Q10" s="487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511"/>
      <c r="C11" s="512"/>
      <c r="D11" s="513"/>
      <c r="E11" s="514"/>
      <c r="F11" s="515"/>
      <c r="G11" s="512"/>
      <c r="H11" s="516" t="s">
        <v>53</v>
      </c>
      <c r="I11" s="517">
        <v>0</v>
      </c>
      <c r="J11" s="515"/>
      <c r="K11" s="518"/>
      <c r="L11" s="516" t="s">
        <v>53</v>
      </c>
      <c r="M11" s="518">
        <v>0</v>
      </c>
      <c r="N11" s="516" t="s">
        <v>53</v>
      </c>
      <c r="O11" s="517">
        <v>0.4</v>
      </c>
      <c r="P11" s="515" t="s">
        <v>54</v>
      </c>
      <c r="Q11" s="519">
        <v>0.7</v>
      </c>
      <c r="R11" s="92" t="s">
        <v>646</v>
      </c>
      <c r="S11" s="474" t="s">
        <v>647</v>
      </c>
      <c r="T11" s="641" t="s">
        <v>361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636" t="s">
        <v>67</v>
      </c>
      <c r="C12" s="628" t="s">
        <v>213</v>
      </c>
      <c r="D12" s="636" t="s">
        <v>204</v>
      </c>
      <c r="E12" s="628" t="s">
        <v>59</v>
      </c>
      <c r="F12" s="627" t="s">
        <v>613</v>
      </c>
      <c r="G12" s="559" t="s">
        <v>213</v>
      </c>
      <c r="H12" s="629" t="s">
        <v>614</v>
      </c>
      <c r="I12" s="628" t="s">
        <v>213</v>
      </c>
      <c r="J12" s="629" t="s">
        <v>615</v>
      </c>
      <c r="K12" s="559" t="s">
        <v>213</v>
      </c>
      <c r="L12" s="629" t="s">
        <v>616</v>
      </c>
      <c r="M12" s="559" t="s">
        <v>213</v>
      </c>
      <c r="N12" s="630" t="s">
        <v>617</v>
      </c>
      <c r="O12" s="559" t="s">
        <v>213</v>
      </c>
      <c r="P12" s="639" t="s">
        <v>630</v>
      </c>
      <c r="Q12" s="632" t="s">
        <v>213</v>
      </c>
      <c r="R12" s="641" t="s">
        <v>649</v>
      </c>
      <c r="S12" s="641" t="s">
        <v>66</v>
      </c>
      <c r="T12" s="47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638" t="s">
        <v>593</v>
      </c>
      <c r="C13" s="634" t="s">
        <v>74</v>
      </c>
      <c r="D13" s="638" t="s">
        <v>593</v>
      </c>
      <c r="E13" s="634" t="s">
        <v>87</v>
      </c>
      <c r="F13" s="636"/>
      <c r="G13" s="634"/>
      <c r="H13" s="629" t="s">
        <v>361</v>
      </c>
      <c r="I13" s="634" t="s">
        <v>261</v>
      </c>
      <c r="J13" s="631"/>
      <c r="K13" s="635"/>
      <c r="L13" s="629" t="s">
        <v>361</v>
      </c>
      <c r="M13" s="634" t="s">
        <v>384</v>
      </c>
      <c r="N13" s="638" t="s">
        <v>666</v>
      </c>
      <c r="O13" s="634" t="s">
        <v>261</v>
      </c>
      <c r="P13" s="638"/>
      <c r="Q13" s="634"/>
      <c r="R13" s="472" t="s">
        <v>326</v>
      </c>
      <c r="S13" s="474" t="s">
        <v>319</v>
      </c>
      <c r="T13" s="640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636"/>
      <c r="C14" s="634"/>
      <c r="D14" s="638" t="s">
        <v>666</v>
      </c>
      <c r="E14" s="634" t="s">
        <v>72</v>
      </c>
      <c r="F14" s="638"/>
      <c r="G14" s="634"/>
      <c r="H14" s="638"/>
      <c r="I14" s="634"/>
      <c r="J14" s="633"/>
      <c r="K14" s="635"/>
      <c r="L14" s="629"/>
      <c r="M14" s="634"/>
      <c r="N14" s="629"/>
      <c r="O14" s="634"/>
      <c r="P14" s="631"/>
      <c r="Q14" s="634"/>
      <c r="R14" s="581" t="s">
        <v>425</v>
      </c>
      <c r="S14" s="474" t="s">
        <v>356</v>
      </c>
      <c r="T14" s="55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35"/>
      <c r="C15" s="537"/>
      <c r="D15" s="637"/>
      <c r="E15" s="559"/>
      <c r="F15" s="532"/>
      <c r="G15" s="534"/>
      <c r="H15" s="608"/>
      <c r="I15" s="602"/>
      <c r="J15" s="46"/>
      <c r="L15" s="638"/>
      <c r="M15" s="634"/>
      <c r="N15" s="535"/>
      <c r="O15" s="590"/>
      <c r="P15" s="506"/>
      <c r="Q15" s="524"/>
      <c r="R15" s="472" t="s">
        <v>321</v>
      </c>
      <c r="S15" s="474" t="s">
        <v>484</v>
      </c>
      <c r="T15" s="55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71"/>
      <c r="C16" s="485"/>
      <c r="D16" s="577"/>
      <c r="E16" s="573"/>
      <c r="F16" s="571"/>
      <c r="G16" s="485"/>
      <c r="H16" s="574"/>
      <c r="I16" s="485"/>
      <c r="J16" s="525"/>
      <c r="K16" s="575"/>
      <c r="L16" s="576"/>
      <c r="M16" s="575"/>
      <c r="N16" s="571"/>
      <c r="O16" s="591"/>
      <c r="P16" s="571"/>
      <c r="Q16" s="540"/>
      <c r="R16" s="471" t="s">
        <v>237</v>
      </c>
      <c r="S16" s="599" t="s">
        <v>71</v>
      </c>
      <c r="T16" s="55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532"/>
      <c r="C17" s="541"/>
      <c r="D17" s="577" t="s">
        <v>413</v>
      </c>
      <c r="E17" s="543" t="s">
        <v>39</v>
      </c>
      <c r="F17" s="577" t="s">
        <v>413</v>
      </c>
      <c r="G17" s="544" t="s">
        <v>36</v>
      </c>
      <c r="H17" s="545"/>
      <c r="I17" s="546"/>
      <c r="J17" s="482"/>
      <c r="K17" s="484"/>
      <c r="L17" s="610"/>
      <c r="M17" s="546"/>
      <c r="N17" s="610" t="s">
        <v>382</v>
      </c>
      <c r="O17" s="546" t="s">
        <v>74</v>
      </c>
      <c r="P17" s="547" t="s">
        <v>54</v>
      </c>
      <c r="Q17" s="548">
        <v>0.4</v>
      </c>
      <c r="R17" s="678" t="s">
        <v>648</v>
      </c>
      <c r="S17" s="679"/>
      <c r="T17" s="680"/>
      <c r="U17" s="681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549">
        <f>B51</f>
        <v>1.2693298969072162</v>
      </c>
      <c r="C18" s="550"/>
      <c r="D18" s="549">
        <f>D51</f>
        <v>1.5231958762886597</v>
      </c>
      <c r="E18" s="551"/>
      <c r="F18" s="549">
        <f>F51</f>
        <v>1.0154639175257731</v>
      </c>
      <c r="G18" s="550"/>
      <c r="H18" s="549">
        <f>H51</f>
        <v>1.5231958762886597</v>
      </c>
      <c r="I18" s="550"/>
      <c r="J18" s="552">
        <f>J51</f>
        <v>1.0154639175257731</v>
      </c>
      <c r="K18" s="550"/>
      <c r="L18" s="552">
        <f>L51</f>
        <v>1.5231958762886597</v>
      </c>
      <c r="M18" s="550"/>
      <c r="N18" s="549">
        <f>N51</f>
        <v>1.3201030927835051</v>
      </c>
      <c r="O18" s="551"/>
      <c r="P18" s="553">
        <f>P51</f>
        <v>0.66005154639175256</v>
      </c>
      <c r="Q18" s="551">
        <f>P18+Q17</f>
        <v>1.0600515463917526</v>
      </c>
      <c r="R18" s="682"/>
      <c r="S18" s="683"/>
      <c r="T18" s="683"/>
      <c r="U18" s="684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65"/>
      <c r="C19" s="566"/>
      <c r="D19" s="565" t="s">
        <v>475</v>
      </c>
      <c r="E19" s="566" t="s">
        <v>657</v>
      </c>
      <c r="F19" s="565"/>
      <c r="G19" s="560"/>
      <c r="H19" s="565" t="s">
        <v>478</v>
      </c>
      <c r="I19" s="566" t="s">
        <v>658</v>
      </c>
      <c r="J19" s="565"/>
      <c r="K19" s="567"/>
      <c r="L19" s="561" t="s">
        <v>349</v>
      </c>
      <c r="M19" s="559" t="s">
        <v>652</v>
      </c>
      <c r="N19" s="565" t="s">
        <v>653</v>
      </c>
      <c r="O19" s="566" t="s">
        <v>654</v>
      </c>
      <c r="P19" s="565"/>
      <c r="Q19" s="566"/>
      <c r="R19" s="685" t="s">
        <v>90</v>
      </c>
      <c r="S19" s="686"/>
      <c r="T19" s="686"/>
      <c r="U19" s="687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59"/>
      <c r="C20" s="559"/>
      <c r="D20" s="558" t="s">
        <v>373</v>
      </c>
      <c r="E20" s="559" t="s">
        <v>655</v>
      </c>
      <c r="F20" s="563"/>
      <c r="G20" s="562"/>
      <c r="H20" s="564" t="s">
        <v>373</v>
      </c>
      <c r="I20" s="559" t="s">
        <v>656</v>
      </c>
      <c r="J20" s="558"/>
      <c r="K20" s="559"/>
      <c r="L20" s="561"/>
      <c r="M20" s="559"/>
      <c r="N20" s="558"/>
      <c r="O20" s="559"/>
      <c r="P20" s="558"/>
      <c r="Q20" s="559"/>
      <c r="R20" s="643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64"/>
      <c r="I21" s="107"/>
      <c r="J21" s="24"/>
      <c r="K21" s="160"/>
      <c r="L21" s="561"/>
      <c r="M21" s="559"/>
      <c r="N21" s="24"/>
      <c r="O21" s="107"/>
      <c r="P21" s="24"/>
      <c r="Q21" s="20"/>
      <c r="R21" s="168"/>
      <c r="S21" s="691" t="s">
        <v>93</v>
      </c>
      <c r="T21" s="691"/>
      <c r="U21" s="692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65"/>
      <c r="I22" s="107"/>
      <c r="J22" s="46"/>
      <c r="L22" s="173" t="s">
        <v>117</v>
      </c>
      <c r="M22" s="172"/>
      <c r="N22" s="558"/>
      <c r="O22" s="559"/>
      <c r="P22" s="176"/>
      <c r="Q22" s="177"/>
      <c r="R22" s="693"/>
      <c r="S22" s="694"/>
      <c r="T22" s="694"/>
      <c r="U22" s="695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96"/>
      <c r="S23" s="697"/>
      <c r="T23" s="697"/>
      <c r="U23" s="698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-6.8298969072165079</v>
      </c>
      <c r="C30" s="218"/>
      <c r="D30" s="219">
        <f>D44</f>
        <v>7.8041237113401962</v>
      </c>
      <c r="E30" s="220"/>
      <c r="F30" s="221">
        <f>F44</f>
        <v>-19.463917525773205</v>
      </c>
      <c r="G30" s="221"/>
      <c r="H30" s="217">
        <f>H44</f>
        <v>16.804123711340196</v>
      </c>
      <c r="I30" s="218"/>
      <c r="J30" s="217">
        <f>J44</f>
        <v>-4.4639175257732049</v>
      </c>
      <c r="K30" s="222"/>
      <c r="L30" s="217">
        <f>L44</f>
        <v>18.804123711340196</v>
      </c>
      <c r="M30" s="222"/>
      <c r="N30" s="217">
        <f>N44</f>
        <v>5.8969072164948386</v>
      </c>
      <c r="O30" s="222"/>
      <c r="P30" s="152">
        <f>P44</f>
        <v>-18.551546391752581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24" t="s">
        <v>644</v>
      </c>
      <c r="C31" s="445" t="s">
        <v>99</v>
      </c>
      <c r="D31" s="24" t="s">
        <v>12</v>
      </c>
      <c r="E31" s="445" t="s">
        <v>99</v>
      </c>
      <c r="F31" s="419" t="s">
        <v>198</v>
      </c>
      <c r="G31" s="464" t="s">
        <v>99</v>
      </c>
      <c r="H31" s="486" t="s">
        <v>47</v>
      </c>
      <c r="I31" s="464" t="s">
        <v>242</v>
      </c>
      <c r="J31" s="24" t="s">
        <v>650</v>
      </c>
      <c r="K31" s="445" t="s">
        <v>651</v>
      </c>
      <c r="L31" s="456"/>
      <c r="M31" s="464"/>
      <c r="N31" s="457"/>
      <c r="O31" s="445"/>
      <c r="P31" s="24" t="s">
        <v>28</v>
      </c>
      <c r="Q31" s="445" t="s">
        <v>643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57"/>
      <c r="G32" s="229"/>
      <c r="H32" s="482"/>
      <c r="I32" s="445"/>
      <c r="J32" s="24"/>
      <c r="K32" s="229"/>
      <c r="L32" s="441"/>
      <c r="M32" s="229"/>
      <c r="N32" s="46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644"/>
      <c r="C33" s="107"/>
      <c r="D33" s="242"/>
      <c r="E33" s="61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548</v>
      </c>
      <c r="T33" s="232" t="s">
        <v>109</v>
      </c>
      <c r="U33" s="247" t="s">
        <v>337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669"/>
      <c r="W40" s="670"/>
      <c r="X40" s="670"/>
      <c r="Y40" s="671"/>
      <c r="Z40" s="302"/>
      <c r="AA40" s="303"/>
    </row>
    <row r="41" spans="1:33" ht="73" thickBot="1">
      <c r="A41" s="304" t="s">
        <v>136</v>
      </c>
      <c r="B41" s="305">
        <f>SUM(B43:T43)</f>
        <v>19.400000000000002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672"/>
      <c r="W41" s="673"/>
      <c r="X41" s="673"/>
      <c r="Y41" s="674"/>
      <c r="Z41" s="302"/>
      <c r="AA41" s="303"/>
    </row>
    <row r="42" spans="1:33" ht="72">
      <c r="A42" s="304" t="s">
        <v>137</v>
      </c>
      <c r="B42" s="294">
        <f>B40/B41</f>
        <v>27.268041237113398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2.5</v>
      </c>
      <c r="C43" s="295"/>
      <c r="D43" s="296">
        <f>E9</f>
        <v>3</v>
      </c>
      <c r="E43" s="297"/>
      <c r="F43" s="296">
        <f>G9</f>
        <v>2</v>
      </c>
      <c r="G43" s="297"/>
      <c r="H43" s="278">
        <f>I9</f>
        <v>3</v>
      </c>
      <c r="I43" s="299"/>
      <c r="J43" s="278">
        <f>K9</f>
        <v>2</v>
      </c>
      <c r="K43" s="299"/>
      <c r="L43" s="278">
        <f>M9</f>
        <v>3</v>
      </c>
      <c r="M43" s="299"/>
      <c r="N43" s="278">
        <f>O9</f>
        <v>2.6</v>
      </c>
      <c r="O43" s="299"/>
      <c r="P43" s="311">
        <f>Q9</f>
        <v>1.3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-6.8298969072165079</v>
      </c>
      <c r="C44" s="295"/>
      <c r="D44" s="318">
        <f>B40/B41*D43-D45</f>
        <v>7.8041237113401962</v>
      </c>
      <c r="E44" s="319"/>
      <c r="F44" s="318">
        <f>B40/B41*F43-F45</f>
        <v>-19.463917525773205</v>
      </c>
      <c r="G44" s="320"/>
      <c r="H44" s="321">
        <f>B40/B41*H43-H45</f>
        <v>16.804123711340196</v>
      </c>
      <c r="I44" s="322"/>
      <c r="J44" s="321">
        <f>B40/B41*J43-J45</f>
        <v>-4.4639175257732049</v>
      </c>
      <c r="K44" s="322"/>
      <c r="L44" s="321">
        <f>B40/B41*L43-L45</f>
        <v>18.804123711340196</v>
      </c>
      <c r="M44" s="322"/>
      <c r="N44" s="321">
        <f>B40/B41*N43-N45</f>
        <v>5.8969072164948386</v>
      </c>
      <c r="O44" s="322"/>
      <c r="P44" s="311">
        <f>B40/B41*P43-P45</f>
        <v>-18.551546391752581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313</v>
      </c>
      <c r="K46" s="348">
        <v>59</v>
      </c>
      <c r="L46" s="349" t="s">
        <v>312</v>
      </c>
      <c r="M46" s="348">
        <v>63</v>
      </c>
      <c r="N46" s="349" t="s">
        <v>311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9.85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53.705583756345177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68.170103092783492</v>
      </c>
      <c r="C50" s="354"/>
      <c r="D50" s="354">
        <f>B42*D43</f>
        <v>81.804123711340196</v>
      </c>
      <c r="E50" s="354"/>
      <c r="F50" s="354">
        <f>B42*F43</f>
        <v>54.536082474226795</v>
      </c>
      <c r="G50" s="354"/>
      <c r="H50" s="359">
        <f>B42*H43</f>
        <v>81.804123711340196</v>
      </c>
      <c r="I50" s="354"/>
      <c r="J50" s="354">
        <f>B42*J43</f>
        <v>54.536082474226795</v>
      </c>
      <c r="K50" s="354"/>
      <c r="L50" s="354">
        <f>B42*L43</f>
        <v>81.804123711340196</v>
      </c>
      <c r="M50" s="354"/>
      <c r="N50" s="359">
        <f>B42*N43</f>
        <v>70.896907216494839</v>
      </c>
      <c r="O50" s="354"/>
      <c r="P50" s="354">
        <f>B42*P43</f>
        <v>35.448453608247419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1.2693298969072162</v>
      </c>
      <c r="C51" s="354"/>
      <c r="D51" s="354">
        <f>D50/B49</f>
        <v>1.5231958762886597</v>
      </c>
      <c r="E51" s="354"/>
      <c r="F51" s="354">
        <f>F50/B49</f>
        <v>1.0154639175257731</v>
      </c>
      <c r="G51" s="354"/>
      <c r="H51" s="354">
        <f>H50/B49</f>
        <v>1.5231958762886597</v>
      </c>
      <c r="I51" s="354"/>
      <c r="J51" s="354">
        <f>J50/B49</f>
        <v>1.0154639175257731</v>
      </c>
      <c r="K51" s="354"/>
      <c r="L51" s="354">
        <f>L50/B49</f>
        <v>1.5231958762886597</v>
      </c>
      <c r="M51" s="354"/>
      <c r="N51" s="359">
        <f>N50/B49</f>
        <v>1.3201030927835051</v>
      </c>
      <c r="O51" s="354"/>
      <c r="P51" s="354">
        <f>P50/B49</f>
        <v>0.66005154639175256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324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325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0.25</v>
      </c>
      <c r="F69" s="376">
        <f>Q17</f>
        <v>0.4</v>
      </c>
      <c r="G69" s="380">
        <v>2.5</v>
      </c>
      <c r="H69" s="376">
        <v>0</v>
      </c>
      <c r="I69" s="377">
        <v>0</v>
      </c>
      <c r="J69" s="376">
        <f>SUM(C69:H69)</f>
        <v>4.1500000000000004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J101"/>
  <sheetViews>
    <sheetView zoomScale="20" zoomScaleNormal="20" workbookViewId="0">
      <selection activeCell="K19" sqref="K19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45986</v>
      </c>
      <c r="E1" s="3" t="str">
        <f>TEXT(D1, "dddd")</f>
        <v>星期二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82" t="s">
        <v>196</v>
      </c>
      <c r="C3" s="483"/>
      <c r="D3" s="482" t="s">
        <v>25</v>
      </c>
      <c r="E3" s="568"/>
      <c r="F3" s="482" t="s">
        <v>299</v>
      </c>
      <c r="G3" s="485"/>
      <c r="H3" s="486" t="s">
        <v>538</v>
      </c>
      <c r="I3" s="485"/>
      <c r="J3" s="482" t="s">
        <v>297</v>
      </c>
      <c r="K3" s="485"/>
      <c r="L3" s="482" t="s">
        <v>301</v>
      </c>
      <c r="M3" s="485"/>
      <c r="N3" s="482" t="s">
        <v>15</v>
      </c>
      <c r="O3" s="485"/>
      <c r="P3" s="482" t="s">
        <v>28</v>
      </c>
      <c r="Q3" s="483"/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82" t="s">
        <v>33</v>
      </c>
      <c r="C4" s="483"/>
      <c r="D4" s="482" t="s">
        <v>34</v>
      </c>
      <c r="E4" s="485"/>
      <c r="F4" s="482" t="s">
        <v>300</v>
      </c>
      <c r="G4" s="485"/>
      <c r="H4" s="482" t="s">
        <v>308</v>
      </c>
      <c r="I4" s="485"/>
      <c r="J4" s="482" t="s">
        <v>26</v>
      </c>
      <c r="K4" s="488"/>
      <c r="L4" s="482" t="s">
        <v>27</v>
      </c>
      <c r="M4" s="485"/>
      <c r="N4" s="482" t="s">
        <v>38</v>
      </c>
      <c r="O4" s="485" t="s">
        <v>36</v>
      </c>
      <c r="P4" s="482" t="s">
        <v>50</v>
      </c>
      <c r="Q4" s="485"/>
      <c r="R4" s="33" t="s">
        <v>305</v>
      </c>
      <c r="S4" s="34"/>
      <c r="T4" s="34" t="s">
        <v>423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82"/>
      <c r="C5" s="485"/>
      <c r="D5" s="482" t="s">
        <v>23</v>
      </c>
      <c r="E5" s="484"/>
      <c r="F5" s="482"/>
      <c r="G5" s="485"/>
      <c r="H5" s="482" t="s">
        <v>37</v>
      </c>
      <c r="I5" s="484"/>
      <c r="J5" s="482" t="s">
        <v>14</v>
      </c>
      <c r="K5" s="485"/>
      <c r="L5" s="489" t="s">
        <v>315</v>
      </c>
      <c r="M5" s="485"/>
      <c r="N5" s="482" t="s">
        <v>621</v>
      </c>
      <c r="O5" s="485"/>
      <c r="P5" s="482"/>
      <c r="Q5" s="484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82"/>
      <c r="E6" s="485"/>
      <c r="F6" s="482"/>
      <c r="G6" s="485"/>
      <c r="H6" s="482"/>
      <c r="I6" s="484"/>
      <c r="J6" s="482"/>
      <c r="K6" s="485"/>
      <c r="L6" s="482"/>
      <c r="M6" s="483"/>
      <c r="N6" s="482"/>
      <c r="O6" s="484"/>
      <c r="P6" s="482"/>
      <c r="Q6" s="485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82"/>
      <c r="C7" s="485"/>
      <c r="D7" s="482"/>
      <c r="E7" s="485"/>
      <c r="F7" s="482"/>
      <c r="G7" s="487"/>
      <c r="H7" s="482"/>
      <c r="I7" s="485"/>
      <c r="J7" s="482"/>
      <c r="K7" s="483"/>
      <c r="L7" s="490"/>
      <c r="M7" s="483"/>
      <c r="N7" s="482"/>
      <c r="O7" s="485"/>
      <c r="P7" s="491"/>
      <c r="Q7" s="487"/>
      <c r="R7" s="403" t="s">
        <v>246</v>
      </c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92"/>
      <c r="C8" s="493"/>
      <c r="D8" s="492"/>
      <c r="E8" s="485"/>
      <c r="F8" s="482"/>
      <c r="G8" s="484"/>
      <c r="H8" s="482"/>
      <c r="I8" s="484"/>
      <c r="J8" s="492"/>
      <c r="K8" s="494" t="s">
        <v>45</v>
      </c>
      <c r="L8" s="495"/>
      <c r="M8" s="494"/>
      <c r="N8" s="482"/>
      <c r="O8" s="485"/>
      <c r="P8" s="492"/>
      <c r="Q8" s="496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97"/>
      <c r="C9" s="498">
        <v>2</v>
      </c>
      <c r="D9" s="499"/>
      <c r="E9" s="498">
        <v>3</v>
      </c>
      <c r="F9" s="499"/>
      <c r="G9" s="498">
        <v>2</v>
      </c>
      <c r="H9" s="500">
        <v>3</v>
      </c>
      <c r="I9" s="498">
        <f>H9-I11</f>
        <v>3</v>
      </c>
      <c r="J9" s="499"/>
      <c r="K9" s="498">
        <v>3</v>
      </c>
      <c r="L9" s="499">
        <v>3</v>
      </c>
      <c r="M9" s="498">
        <f>L9-M11</f>
        <v>2.6</v>
      </c>
      <c r="N9" s="501">
        <v>2.5</v>
      </c>
      <c r="O9" s="498">
        <f>N9-O11</f>
        <v>2.5</v>
      </c>
      <c r="P9" s="492">
        <v>2</v>
      </c>
      <c r="Q9" s="502">
        <f>P9-Q11</f>
        <v>1.3</v>
      </c>
      <c r="R9" s="40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503"/>
      <c r="C10" s="504"/>
      <c r="D10" s="501"/>
      <c r="E10" s="505"/>
      <c r="F10" s="506"/>
      <c r="G10" s="507"/>
      <c r="H10" s="508"/>
      <c r="I10" s="505"/>
      <c r="J10" s="503"/>
      <c r="K10" s="509"/>
      <c r="L10" s="510"/>
      <c r="M10" s="509"/>
      <c r="N10" s="482"/>
      <c r="O10" s="484"/>
      <c r="P10" s="492"/>
      <c r="Q10" s="487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511"/>
      <c r="C11" s="512"/>
      <c r="D11" s="513"/>
      <c r="E11" s="514"/>
      <c r="F11" s="515"/>
      <c r="G11" s="512"/>
      <c r="H11" s="516" t="s">
        <v>53</v>
      </c>
      <c r="I11" s="517">
        <v>0</v>
      </c>
      <c r="J11" s="515"/>
      <c r="K11" s="518"/>
      <c r="L11" s="516" t="s">
        <v>53</v>
      </c>
      <c r="M11" s="518">
        <v>0.4</v>
      </c>
      <c r="N11" s="516" t="s">
        <v>53</v>
      </c>
      <c r="O11" s="517">
        <v>0</v>
      </c>
      <c r="P11" s="515" t="s">
        <v>54</v>
      </c>
      <c r="Q11" s="519">
        <v>0.7</v>
      </c>
      <c r="R11" s="92" t="s">
        <v>660</v>
      </c>
      <c r="S11" s="481" t="s">
        <v>661</v>
      </c>
      <c r="T11" s="645" t="s">
        <v>361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636" t="s">
        <v>67</v>
      </c>
      <c r="C12" s="628" t="s">
        <v>213</v>
      </c>
      <c r="D12" s="636" t="s">
        <v>204</v>
      </c>
      <c r="E12" s="628" t="s">
        <v>59</v>
      </c>
      <c r="F12" s="627" t="s">
        <v>613</v>
      </c>
      <c r="G12" s="559" t="s">
        <v>213</v>
      </c>
      <c r="H12" s="629" t="s">
        <v>614</v>
      </c>
      <c r="I12" s="628" t="s">
        <v>675</v>
      </c>
      <c r="J12" s="629" t="s">
        <v>615</v>
      </c>
      <c r="K12" s="559" t="s">
        <v>213</v>
      </c>
      <c r="L12" s="637" t="s">
        <v>361</v>
      </c>
      <c r="M12" s="559" t="s">
        <v>213</v>
      </c>
      <c r="N12" s="630" t="s">
        <v>617</v>
      </c>
      <c r="O12" s="559" t="s">
        <v>213</v>
      </c>
      <c r="P12" s="639" t="s">
        <v>630</v>
      </c>
      <c r="Q12" s="632" t="s">
        <v>213</v>
      </c>
      <c r="R12" s="641" t="s">
        <v>649</v>
      </c>
      <c r="S12" s="641" t="s">
        <v>663</v>
      </c>
      <c r="T12" s="47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638"/>
      <c r="C13" s="634"/>
      <c r="D13" s="638" t="s">
        <v>671</v>
      </c>
      <c r="E13" s="634" t="s">
        <v>667</v>
      </c>
      <c r="F13" s="636"/>
      <c r="G13" s="634"/>
      <c r="H13" s="638" t="s">
        <v>55</v>
      </c>
      <c r="I13" s="634" t="s">
        <v>36</v>
      </c>
      <c r="J13" s="631" t="s">
        <v>672</v>
      </c>
      <c r="K13" s="635" t="s">
        <v>669</v>
      </c>
      <c r="L13" s="629" t="s">
        <v>668</v>
      </c>
      <c r="M13" s="634" t="s">
        <v>74</v>
      </c>
      <c r="N13" s="638" t="s">
        <v>666</v>
      </c>
      <c r="O13" s="634" t="s">
        <v>670</v>
      </c>
      <c r="P13" s="638"/>
      <c r="Q13" s="634"/>
      <c r="R13" s="472" t="s">
        <v>326</v>
      </c>
      <c r="S13" s="474" t="s">
        <v>319</v>
      </c>
      <c r="T13" s="640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636"/>
      <c r="C14" s="634"/>
      <c r="D14" s="638" t="s">
        <v>673</v>
      </c>
      <c r="E14" s="634" t="s">
        <v>665</v>
      </c>
      <c r="F14" s="638"/>
      <c r="G14" s="634"/>
      <c r="H14" s="638"/>
      <c r="I14" s="634"/>
      <c r="J14" s="629" t="s">
        <v>668</v>
      </c>
      <c r="K14" s="635" t="s">
        <v>72</v>
      </c>
      <c r="L14" s="629"/>
      <c r="M14" s="634"/>
      <c r="N14" s="637"/>
      <c r="O14" s="634"/>
      <c r="P14" s="631"/>
      <c r="Q14" s="634"/>
      <c r="R14" s="581" t="s">
        <v>662</v>
      </c>
      <c r="S14" s="474" t="s">
        <v>676</v>
      </c>
      <c r="T14" s="55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35"/>
      <c r="C15" s="537"/>
      <c r="D15" s="637"/>
      <c r="E15" s="559"/>
      <c r="F15" s="532"/>
      <c r="G15" s="534"/>
      <c r="H15" s="608"/>
      <c r="I15" s="602"/>
      <c r="J15" s="46"/>
      <c r="L15" s="638"/>
      <c r="M15" s="634"/>
      <c r="N15" s="535"/>
      <c r="O15" s="590"/>
      <c r="P15" s="506"/>
      <c r="Q15" s="524"/>
      <c r="R15" s="472" t="s">
        <v>321</v>
      </c>
      <c r="S15" s="474" t="s">
        <v>484</v>
      </c>
      <c r="T15" s="55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71"/>
      <c r="C16" s="485"/>
      <c r="D16" s="577"/>
      <c r="E16" s="573"/>
      <c r="F16" s="571"/>
      <c r="G16" s="485"/>
      <c r="H16" s="574"/>
      <c r="I16" s="485"/>
      <c r="J16" s="525"/>
      <c r="K16" s="575"/>
      <c r="L16" s="576"/>
      <c r="M16" s="575"/>
      <c r="N16" s="571"/>
      <c r="O16" s="591"/>
      <c r="P16" s="571"/>
      <c r="Q16" s="540"/>
      <c r="R16" s="471" t="s">
        <v>237</v>
      </c>
      <c r="S16" s="599" t="s">
        <v>71</v>
      </c>
      <c r="T16" s="55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532"/>
      <c r="C17" s="541"/>
      <c r="D17" s="577" t="s">
        <v>413</v>
      </c>
      <c r="E17" s="543" t="s">
        <v>39</v>
      </c>
      <c r="F17" s="577" t="s">
        <v>413</v>
      </c>
      <c r="G17" s="544" t="s">
        <v>78</v>
      </c>
      <c r="H17" s="545"/>
      <c r="I17" s="546"/>
      <c r="J17" s="482"/>
      <c r="K17" s="484"/>
      <c r="L17" s="610" t="s">
        <v>664</v>
      </c>
      <c r="M17" s="546" t="s">
        <v>665</v>
      </c>
      <c r="N17" s="610"/>
      <c r="O17" s="546"/>
      <c r="P17" s="547" t="s">
        <v>54</v>
      </c>
      <c r="Q17" s="548">
        <v>0.4</v>
      </c>
      <c r="R17" s="678" t="s">
        <v>674</v>
      </c>
      <c r="S17" s="679"/>
      <c r="T17" s="680"/>
      <c r="U17" s="681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549">
        <f>B51</f>
        <v>0.96391752577319567</v>
      </c>
      <c r="C18" s="550"/>
      <c r="D18" s="549">
        <f>D51</f>
        <v>1.4458762886597936</v>
      </c>
      <c r="E18" s="551"/>
      <c r="F18" s="549">
        <f>F51</f>
        <v>0.96391752577319567</v>
      </c>
      <c r="G18" s="550"/>
      <c r="H18" s="549">
        <f>H51</f>
        <v>1.4458762886597936</v>
      </c>
      <c r="I18" s="550"/>
      <c r="J18" s="552">
        <f>J51</f>
        <v>1.4458762886597936</v>
      </c>
      <c r="K18" s="550"/>
      <c r="L18" s="552">
        <f>L51</f>
        <v>1.2530927835051544</v>
      </c>
      <c r="M18" s="550"/>
      <c r="N18" s="549">
        <f>N51</f>
        <v>1.2048969072164946</v>
      </c>
      <c r="O18" s="551"/>
      <c r="P18" s="553">
        <f>P51</f>
        <v>0.6265463917525772</v>
      </c>
      <c r="Q18" s="551">
        <f>P18+Q17</f>
        <v>1.0265463917525772</v>
      </c>
      <c r="R18" s="682"/>
      <c r="S18" s="683"/>
      <c r="T18" s="683"/>
      <c r="U18" s="684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65"/>
      <c r="C19" s="566"/>
      <c r="D19" s="565" t="s">
        <v>653</v>
      </c>
      <c r="E19" s="566" t="s">
        <v>677</v>
      </c>
      <c r="F19" s="565"/>
      <c r="G19" s="560"/>
      <c r="H19" s="565" t="s">
        <v>372</v>
      </c>
      <c r="I19" s="566" t="s">
        <v>678</v>
      </c>
      <c r="J19" s="565" t="s">
        <v>478</v>
      </c>
      <c r="K19" s="567" t="s">
        <v>682</v>
      </c>
      <c r="L19" s="561" t="s">
        <v>419</v>
      </c>
      <c r="M19" s="559" t="s">
        <v>684</v>
      </c>
      <c r="N19" s="565" t="s">
        <v>478</v>
      </c>
      <c r="O19" s="566" t="s">
        <v>683</v>
      </c>
      <c r="P19" s="565"/>
      <c r="Q19" s="566"/>
      <c r="R19" s="685" t="s">
        <v>90</v>
      </c>
      <c r="S19" s="686"/>
      <c r="T19" s="686"/>
      <c r="U19" s="687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59"/>
      <c r="C20" s="559"/>
      <c r="D20" s="558" t="s">
        <v>478</v>
      </c>
      <c r="E20" s="559" t="s">
        <v>681</v>
      </c>
      <c r="F20" s="563"/>
      <c r="G20" s="562"/>
      <c r="H20" s="565" t="s">
        <v>373</v>
      </c>
      <c r="I20" s="559" t="s">
        <v>679</v>
      </c>
      <c r="J20" s="558" t="s">
        <v>349</v>
      </c>
      <c r="K20" s="559" t="s">
        <v>680</v>
      </c>
      <c r="L20" s="561"/>
      <c r="M20" s="559"/>
      <c r="N20" s="558"/>
      <c r="O20" s="559"/>
      <c r="P20" s="558"/>
      <c r="Q20" s="559"/>
      <c r="R20" s="643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64"/>
      <c r="I21" s="107"/>
      <c r="J21" s="24"/>
      <c r="K21" s="160"/>
      <c r="L21" s="561"/>
      <c r="M21" s="559"/>
      <c r="N21" s="24"/>
      <c r="O21" s="107"/>
      <c r="P21" s="24"/>
      <c r="Q21" s="20"/>
      <c r="R21" s="168"/>
      <c r="S21" s="691" t="s">
        <v>93</v>
      </c>
      <c r="T21" s="691"/>
      <c r="U21" s="692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65"/>
      <c r="I22" s="107"/>
      <c r="J22" s="46"/>
      <c r="L22" s="173" t="s">
        <v>117</v>
      </c>
      <c r="M22" s="172"/>
      <c r="N22" s="558"/>
      <c r="O22" s="559"/>
      <c r="P22" s="176"/>
      <c r="Q22" s="177"/>
      <c r="R22" s="693"/>
      <c r="S22" s="694"/>
      <c r="T22" s="694"/>
      <c r="U22" s="695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96"/>
      <c r="S23" s="697"/>
      <c r="T23" s="697"/>
      <c r="U23" s="698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-20.463917525773205</v>
      </c>
      <c r="C30" s="218"/>
      <c r="D30" s="219">
        <f>D44</f>
        <v>7.8041237113401962</v>
      </c>
      <c r="E30" s="220"/>
      <c r="F30" s="221">
        <f>F44</f>
        <v>-19.463917525773205</v>
      </c>
      <c r="G30" s="221"/>
      <c r="H30" s="217">
        <f>H44</f>
        <v>16.804123711340196</v>
      </c>
      <c r="I30" s="218"/>
      <c r="J30" s="217">
        <f>J44</f>
        <v>22.804123711340196</v>
      </c>
      <c r="K30" s="222"/>
      <c r="L30" s="217">
        <f>L44</f>
        <v>7.8969072164948386</v>
      </c>
      <c r="M30" s="222"/>
      <c r="N30" s="217">
        <f>N44</f>
        <v>3.1701030927834921</v>
      </c>
      <c r="O30" s="222"/>
      <c r="P30" s="152">
        <f>P44</f>
        <v>-18.551546391752581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631" t="s">
        <v>644</v>
      </c>
      <c r="C31" s="647" t="s">
        <v>99</v>
      </c>
      <c r="D31" s="631" t="s">
        <v>12</v>
      </c>
      <c r="E31" s="647" t="s">
        <v>99</v>
      </c>
      <c r="F31" s="648" t="s">
        <v>198</v>
      </c>
      <c r="G31" s="649" t="s">
        <v>99</v>
      </c>
      <c r="H31" s="650" t="s">
        <v>47</v>
      </c>
      <c r="I31" s="649" t="s">
        <v>242</v>
      </c>
      <c r="J31" s="24"/>
      <c r="K31" s="445"/>
      <c r="L31" s="456"/>
      <c r="M31" s="464"/>
      <c r="N31" s="457" t="s">
        <v>659</v>
      </c>
      <c r="O31" s="646"/>
      <c r="P31" s="622"/>
      <c r="Q31" s="445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57"/>
      <c r="G32" s="229"/>
      <c r="H32" s="482"/>
      <c r="I32" s="445"/>
      <c r="J32" s="24"/>
      <c r="K32" s="229"/>
      <c r="L32" s="441"/>
      <c r="M32" s="229"/>
      <c r="N32" s="46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644"/>
      <c r="C33" s="107"/>
      <c r="D33" s="242"/>
      <c r="E33" s="61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548</v>
      </c>
      <c r="T33" s="232" t="s">
        <v>109</v>
      </c>
      <c r="U33" s="247" t="s">
        <v>337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669"/>
      <c r="W40" s="670"/>
      <c r="X40" s="670"/>
      <c r="Y40" s="671"/>
      <c r="Z40" s="302"/>
      <c r="AA40" s="303"/>
    </row>
    <row r="41" spans="1:33" ht="73" thickBot="1">
      <c r="A41" s="304" t="s">
        <v>136</v>
      </c>
      <c r="B41" s="305">
        <f>SUM(B43:T43)</f>
        <v>19.400000000000002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672"/>
      <c r="W41" s="673"/>
      <c r="X41" s="673"/>
      <c r="Y41" s="674"/>
      <c r="Z41" s="302"/>
      <c r="AA41" s="303"/>
    </row>
    <row r="42" spans="1:33" ht="72">
      <c r="A42" s="304" t="s">
        <v>137</v>
      </c>
      <c r="B42" s="294">
        <f>B40/B41</f>
        <v>27.268041237113398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2</v>
      </c>
      <c r="C43" s="295"/>
      <c r="D43" s="296">
        <f>E9</f>
        <v>3</v>
      </c>
      <c r="E43" s="297"/>
      <c r="F43" s="296">
        <f>G9</f>
        <v>2</v>
      </c>
      <c r="G43" s="297"/>
      <c r="H43" s="278">
        <f>I9</f>
        <v>3</v>
      </c>
      <c r="I43" s="299"/>
      <c r="J43" s="278">
        <f>K9</f>
        <v>3</v>
      </c>
      <c r="K43" s="299"/>
      <c r="L43" s="278">
        <f>M9</f>
        <v>2.6</v>
      </c>
      <c r="M43" s="299"/>
      <c r="N43" s="278">
        <f>O9</f>
        <v>2.5</v>
      </c>
      <c r="O43" s="299"/>
      <c r="P43" s="311">
        <f>Q9</f>
        <v>1.3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-20.463917525773205</v>
      </c>
      <c r="C44" s="295"/>
      <c r="D44" s="318">
        <f>B40/B41*D43-D45</f>
        <v>7.8041237113401962</v>
      </c>
      <c r="E44" s="319"/>
      <c r="F44" s="318">
        <f>B40/B41*F43-F45</f>
        <v>-19.463917525773205</v>
      </c>
      <c r="G44" s="320"/>
      <c r="H44" s="321">
        <f>B40/B41*H43-H45</f>
        <v>16.804123711340196</v>
      </c>
      <c r="I44" s="322"/>
      <c r="J44" s="321">
        <f>B40/B41*J43-J45</f>
        <v>22.804123711340196</v>
      </c>
      <c r="K44" s="322"/>
      <c r="L44" s="321">
        <f>B40/B41*L43-L45</f>
        <v>7.8969072164948386</v>
      </c>
      <c r="M44" s="322"/>
      <c r="N44" s="321">
        <f>B40/B41*N43-N45</f>
        <v>3.1701030927834921</v>
      </c>
      <c r="O44" s="322"/>
      <c r="P44" s="311">
        <f>B40/B41*P43-P45</f>
        <v>-18.551546391752581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313</v>
      </c>
      <c r="K46" s="348">
        <v>59</v>
      </c>
      <c r="L46" s="349" t="s">
        <v>312</v>
      </c>
      <c r="M46" s="348">
        <v>63</v>
      </c>
      <c r="N46" s="349" t="s">
        <v>311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9.35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56.577540106951872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54.536082474226795</v>
      </c>
      <c r="C50" s="354"/>
      <c r="D50" s="354">
        <f>B42*D43</f>
        <v>81.804123711340196</v>
      </c>
      <c r="E50" s="354"/>
      <c r="F50" s="354">
        <f>B42*F43</f>
        <v>54.536082474226795</v>
      </c>
      <c r="G50" s="354"/>
      <c r="H50" s="359">
        <f>B42*H43</f>
        <v>81.804123711340196</v>
      </c>
      <c r="I50" s="354"/>
      <c r="J50" s="354">
        <f>B42*J43</f>
        <v>81.804123711340196</v>
      </c>
      <c r="K50" s="354"/>
      <c r="L50" s="354">
        <f>B42*L43</f>
        <v>70.896907216494839</v>
      </c>
      <c r="M50" s="354"/>
      <c r="N50" s="359">
        <f>B42*N43</f>
        <v>68.170103092783492</v>
      </c>
      <c r="O50" s="354"/>
      <c r="P50" s="354">
        <f>B42*P43</f>
        <v>35.448453608247419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0.96391752577319567</v>
      </c>
      <c r="C51" s="354"/>
      <c r="D51" s="354">
        <f>D50/B49</f>
        <v>1.4458762886597936</v>
      </c>
      <c r="E51" s="354"/>
      <c r="F51" s="354">
        <f>F50/B49</f>
        <v>0.96391752577319567</v>
      </c>
      <c r="G51" s="354"/>
      <c r="H51" s="354">
        <f>H50/B49</f>
        <v>1.4458762886597936</v>
      </c>
      <c r="I51" s="354"/>
      <c r="J51" s="354">
        <f>J50/B49</f>
        <v>1.4458762886597936</v>
      </c>
      <c r="K51" s="354"/>
      <c r="L51" s="354">
        <f>L50/B49</f>
        <v>1.2530927835051544</v>
      </c>
      <c r="M51" s="354"/>
      <c r="N51" s="359">
        <f>N50/B49</f>
        <v>1.2048969072164946</v>
      </c>
      <c r="O51" s="354"/>
      <c r="P51" s="354">
        <f>P50/B49</f>
        <v>0.6265463917525772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324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325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0.25</v>
      </c>
      <c r="F69" s="376">
        <f>Q17</f>
        <v>0.4</v>
      </c>
      <c r="G69" s="380">
        <v>3.25</v>
      </c>
      <c r="H69" s="376">
        <v>0</v>
      </c>
      <c r="I69" s="377">
        <v>0</v>
      </c>
      <c r="J69" s="376">
        <f>SUM(C69:H69)</f>
        <v>4.6500000000000004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J101"/>
  <sheetViews>
    <sheetView zoomScale="40" zoomScaleNormal="40" workbookViewId="0">
      <selection activeCell="K19" sqref="K19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45986</v>
      </c>
      <c r="E1" s="3" t="str">
        <f>TEXT(D1, "dddd")</f>
        <v>星期二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82" t="s">
        <v>196</v>
      </c>
      <c r="C3" s="483"/>
      <c r="D3" s="482" t="s">
        <v>25</v>
      </c>
      <c r="E3" s="568"/>
      <c r="F3" s="484" t="s">
        <v>198</v>
      </c>
      <c r="G3" s="485"/>
      <c r="H3" s="486" t="s">
        <v>538</v>
      </c>
      <c r="I3" s="485"/>
      <c r="J3" s="482" t="s">
        <v>297</v>
      </c>
      <c r="K3" s="485"/>
      <c r="L3" s="482" t="s">
        <v>301</v>
      </c>
      <c r="M3" s="485"/>
      <c r="N3" s="482" t="s">
        <v>15</v>
      </c>
      <c r="O3" s="485"/>
      <c r="P3" s="482" t="s">
        <v>28</v>
      </c>
      <c r="Q3" s="483"/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82" t="s">
        <v>33</v>
      </c>
      <c r="C4" s="483"/>
      <c r="D4" s="482" t="s">
        <v>34</v>
      </c>
      <c r="E4" s="485"/>
      <c r="F4" s="482" t="s">
        <v>299</v>
      </c>
      <c r="G4" s="485"/>
      <c r="H4" s="482" t="s">
        <v>308</v>
      </c>
      <c r="I4" s="485"/>
      <c r="J4" s="482" t="s">
        <v>26</v>
      </c>
      <c r="K4" s="488"/>
      <c r="L4" s="482" t="s">
        <v>27</v>
      </c>
      <c r="M4" s="485"/>
      <c r="N4" s="482" t="s">
        <v>38</v>
      </c>
      <c r="O4" s="485"/>
      <c r="P4" s="482" t="s">
        <v>50</v>
      </c>
      <c r="Q4" s="485"/>
      <c r="R4" s="33" t="s">
        <v>305</v>
      </c>
      <c r="S4" s="34"/>
      <c r="T4" s="34" t="s">
        <v>423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82"/>
      <c r="C5" s="485"/>
      <c r="D5" s="482" t="s">
        <v>23</v>
      </c>
      <c r="E5" s="484"/>
      <c r="F5" s="482" t="s">
        <v>300</v>
      </c>
      <c r="G5" s="485"/>
      <c r="H5" s="482" t="s">
        <v>37</v>
      </c>
      <c r="I5" s="484"/>
      <c r="J5" s="482" t="s">
        <v>14</v>
      </c>
      <c r="K5" s="485"/>
      <c r="L5" s="489" t="s">
        <v>315</v>
      </c>
      <c r="M5" s="485"/>
      <c r="N5" s="482" t="s">
        <v>621</v>
      </c>
      <c r="O5" s="485"/>
      <c r="P5" s="482"/>
      <c r="Q5" s="484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82"/>
      <c r="E6" s="485"/>
      <c r="F6" s="482"/>
      <c r="G6" s="485"/>
      <c r="H6" s="482"/>
      <c r="I6" s="484"/>
      <c r="J6" s="482"/>
      <c r="K6" s="485"/>
      <c r="L6" s="482"/>
      <c r="M6" s="483"/>
      <c r="N6" s="482"/>
      <c r="O6" s="484"/>
      <c r="P6" s="482"/>
      <c r="Q6" s="485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82"/>
      <c r="C7" s="485"/>
      <c r="D7" s="482"/>
      <c r="E7" s="485"/>
      <c r="F7" s="482"/>
      <c r="G7" s="487"/>
      <c r="H7" s="482"/>
      <c r="I7" s="485"/>
      <c r="J7" s="482"/>
      <c r="K7" s="483"/>
      <c r="L7" s="490"/>
      <c r="M7" s="483"/>
      <c r="N7" s="482"/>
      <c r="O7" s="485"/>
      <c r="P7" s="491"/>
      <c r="Q7" s="487"/>
      <c r="R7" s="403" t="s">
        <v>246</v>
      </c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92"/>
      <c r="C8" s="493"/>
      <c r="D8" s="492"/>
      <c r="E8" s="485"/>
      <c r="F8" s="482"/>
      <c r="G8" s="484"/>
      <c r="H8" s="482"/>
      <c r="I8" s="484"/>
      <c r="J8" s="492"/>
      <c r="K8" s="494" t="s">
        <v>45</v>
      </c>
      <c r="L8" s="495"/>
      <c r="M8" s="494"/>
      <c r="N8" s="482"/>
      <c r="O8" s="485"/>
      <c r="P8" s="492"/>
      <c r="Q8" s="496"/>
      <c r="R8" s="49" t="s">
        <v>685</v>
      </c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97"/>
      <c r="C9" s="498">
        <v>2</v>
      </c>
      <c r="D9" s="499"/>
      <c r="E9" s="498">
        <v>3</v>
      </c>
      <c r="F9" s="499"/>
      <c r="G9" s="498">
        <v>3</v>
      </c>
      <c r="H9" s="500">
        <v>3</v>
      </c>
      <c r="I9" s="498">
        <f>H9-I11</f>
        <v>3</v>
      </c>
      <c r="J9" s="499"/>
      <c r="K9" s="498">
        <v>3</v>
      </c>
      <c r="L9" s="499">
        <v>3</v>
      </c>
      <c r="M9" s="498">
        <f>L9-M11</f>
        <v>3</v>
      </c>
      <c r="N9" s="501">
        <v>3</v>
      </c>
      <c r="O9" s="498">
        <f>N9-O11</f>
        <v>2.6</v>
      </c>
      <c r="P9" s="492">
        <v>2</v>
      </c>
      <c r="Q9" s="502">
        <f>P9-Q11</f>
        <v>1.3</v>
      </c>
      <c r="R9" s="651" t="s">
        <v>686</v>
      </c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503"/>
      <c r="C10" s="504"/>
      <c r="D10" s="501"/>
      <c r="E10" s="505"/>
      <c r="F10" s="506"/>
      <c r="G10" s="507"/>
      <c r="H10" s="508"/>
      <c r="I10" s="505"/>
      <c r="J10" s="503"/>
      <c r="K10" s="509"/>
      <c r="L10" s="510"/>
      <c r="M10" s="509"/>
      <c r="N10" s="482"/>
      <c r="O10" s="484"/>
      <c r="P10" s="492"/>
      <c r="Q10" s="487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511"/>
      <c r="C11" s="512"/>
      <c r="D11" s="513"/>
      <c r="E11" s="514"/>
      <c r="F11" s="515"/>
      <c r="G11" s="512"/>
      <c r="H11" s="516" t="s">
        <v>53</v>
      </c>
      <c r="I11" s="517">
        <v>0</v>
      </c>
      <c r="J11" s="515"/>
      <c r="K11" s="518"/>
      <c r="L11" s="516" t="s">
        <v>53</v>
      </c>
      <c r="M11" s="518">
        <v>0</v>
      </c>
      <c r="N11" s="516" t="s">
        <v>53</v>
      </c>
      <c r="O11" s="517">
        <v>0.4</v>
      </c>
      <c r="P11" s="515" t="s">
        <v>54</v>
      </c>
      <c r="Q11" s="519">
        <v>0.7</v>
      </c>
      <c r="R11" s="92" t="s">
        <v>660</v>
      </c>
      <c r="S11" s="481" t="s">
        <v>661</v>
      </c>
      <c r="T11" s="641" t="s">
        <v>361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636" t="s">
        <v>67</v>
      </c>
      <c r="C12" s="628" t="s">
        <v>213</v>
      </c>
      <c r="D12" s="636" t="s">
        <v>190</v>
      </c>
      <c r="E12" s="628" t="s">
        <v>59</v>
      </c>
      <c r="F12" s="627" t="s">
        <v>613</v>
      </c>
      <c r="G12" s="559" t="s">
        <v>235</v>
      </c>
      <c r="H12" s="629" t="s">
        <v>614</v>
      </c>
      <c r="I12" s="628" t="s">
        <v>691</v>
      </c>
      <c r="J12" s="629" t="s">
        <v>615</v>
      </c>
      <c r="K12" s="559" t="s">
        <v>213</v>
      </c>
      <c r="L12" s="637" t="s">
        <v>361</v>
      </c>
      <c r="M12" s="559" t="s">
        <v>213</v>
      </c>
      <c r="N12" s="630" t="s">
        <v>617</v>
      </c>
      <c r="O12" s="559" t="s">
        <v>213</v>
      </c>
      <c r="P12" s="639" t="s">
        <v>630</v>
      </c>
      <c r="Q12" s="632" t="s">
        <v>235</v>
      </c>
      <c r="R12" s="641" t="s">
        <v>190</v>
      </c>
      <c r="S12" s="641" t="s">
        <v>687</v>
      </c>
      <c r="T12" s="47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638"/>
      <c r="C13" s="634"/>
      <c r="D13" s="638" t="s">
        <v>694</v>
      </c>
      <c r="E13" s="466" t="s">
        <v>695</v>
      </c>
      <c r="F13" s="636" t="s">
        <v>699</v>
      </c>
      <c r="G13" s="634" t="s">
        <v>700</v>
      </c>
      <c r="H13" s="638" t="s">
        <v>696</v>
      </c>
      <c r="I13" s="634" t="s">
        <v>697</v>
      </c>
      <c r="J13" s="653" t="s">
        <v>696</v>
      </c>
      <c r="K13" s="107" t="s">
        <v>698</v>
      </c>
      <c r="L13" s="654" t="s">
        <v>692</v>
      </c>
      <c r="M13" s="185" t="s">
        <v>74</v>
      </c>
      <c r="N13" s="638" t="s">
        <v>73</v>
      </c>
      <c r="O13" s="634" t="s">
        <v>78</v>
      </c>
      <c r="P13" s="638" t="s">
        <v>263</v>
      </c>
      <c r="Q13" s="634" t="s">
        <v>36</v>
      </c>
      <c r="R13" s="472" t="s">
        <v>689</v>
      </c>
      <c r="S13" s="474" t="s">
        <v>319</v>
      </c>
      <c r="T13" s="640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636"/>
      <c r="C14" s="634"/>
      <c r="D14" s="638"/>
      <c r="E14" s="634"/>
      <c r="F14" s="638"/>
      <c r="G14" s="634"/>
      <c r="H14" s="638"/>
      <c r="I14" s="634"/>
      <c r="J14" s="629"/>
      <c r="K14" s="635"/>
      <c r="L14" s="629"/>
      <c r="M14" s="634"/>
      <c r="N14" s="637"/>
      <c r="O14" s="634"/>
      <c r="P14" s="631"/>
      <c r="Q14" s="634"/>
      <c r="R14" s="581" t="s">
        <v>425</v>
      </c>
      <c r="S14" s="474" t="s">
        <v>693</v>
      </c>
      <c r="T14" s="55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35"/>
      <c r="C15" s="537"/>
      <c r="D15" s="637"/>
      <c r="E15" s="559"/>
      <c r="F15" s="532"/>
      <c r="G15" s="534"/>
      <c r="H15" s="608"/>
      <c r="I15" s="602"/>
      <c r="J15" s="46"/>
      <c r="L15" s="638"/>
      <c r="M15" s="634"/>
      <c r="N15" s="535"/>
      <c r="O15" s="590"/>
      <c r="P15" s="506"/>
      <c r="Q15" s="524"/>
      <c r="R15" s="472" t="s">
        <v>321</v>
      </c>
      <c r="S15" s="474" t="s">
        <v>484</v>
      </c>
      <c r="T15" s="55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71"/>
      <c r="C16" s="485"/>
      <c r="D16" s="577"/>
      <c r="E16" s="573"/>
      <c r="F16" s="571"/>
      <c r="G16" s="485"/>
      <c r="H16" s="574"/>
      <c r="I16" s="485"/>
      <c r="J16" s="525"/>
      <c r="K16" s="575"/>
      <c r="L16" s="576"/>
      <c r="M16" s="575"/>
      <c r="N16" s="571"/>
      <c r="O16" s="591"/>
      <c r="P16" s="571"/>
      <c r="Q16" s="540"/>
      <c r="R16" s="471" t="s">
        <v>690</v>
      </c>
      <c r="S16" s="652" t="s">
        <v>688</v>
      </c>
      <c r="T16" s="55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532"/>
      <c r="C17" s="541"/>
      <c r="D17" s="577" t="s">
        <v>413</v>
      </c>
      <c r="E17" s="543" t="s">
        <v>39</v>
      </c>
      <c r="F17" s="577" t="s">
        <v>413</v>
      </c>
      <c r="G17" s="544" t="s">
        <v>36</v>
      </c>
      <c r="H17" s="545"/>
      <c r="I17" s="546"/>
      <c r="J17" s="482"/>
      <c r="K17" s="484"/>
      <c r="L17" s="610"/>
      <c r="M17" s="546"/>
      <c r="N17" s="610" t="s">
        <v>382</v>
      </c>
      <c r="O17" s="546" t="s">
        <v>87</v>
      </c>
      <c r="P17" s="547" t="s">
        <v>54</v>
      </c>
      <c r="Q17" s="548">
        <v>0.4</v>
      </c>
      <c r="R17" s="678" t="s">
        <v>674</v>
      </c>
      <c r="S17" s="679"/>
      <c r="T17" s="680"/>
      <c r="U17" s="681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549">
        <f>B51</f>
        <v>0.86602870813397126</v>
      </c>
      <c r="C18" s="550"/>
      <c r="D18" s="549">
        <f>D51</f>
        <v>1.299043062200957</v>
      </c>
      <c r="E18" s="551"/>
      <c r="F18" s="549">
        <f>F51</f>
        <v>1.299043062200957</v>
      </c>
      <c r="G18" s="550"/>
      <c r="H18" s="549">
        <f>H51</f>
        <v>1.299043062200957</v>
      </c>
      <c r="I18" s="550"/>
      <c r="J18" s="552">
        <f>J51</f>
        <v>1.299043062200957</v>
      </c>
      <c r="K18" s="550"/>
      <c r="L18" s="552">
        <f>L51</f>
        <v>1.299043062200957</v>
      </c>
      <c r="M18" s="550"/>
      <c r="N18" s="549">
        <f>N51</f>
        <v>1.1258373205741627</v>
      </c>
      <c r="O18" s="551"/>
      <c r="P18" s="553">
        <f>P51</f>
        <v>0.56291866028708137</v>
      </c>
      <c r="Q18" s="551">
        <f>P18+Q17</f>
        <v>0.9629186602870814</v>
      </c>
      <c r="R18" s="682"/>
      <c r="S18" s="683"/>
      <c r="T18" s="683"/>
      <c r="U18" s="684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65"/>
      <c r="C19" s="566"/>
      <c r="D19" s="565" t="s">
        <v>478</v>
      </c>
      <c r="E19" s="566" t="s">
        <v>704</v>
      </c>
      <c r="F19" s="565" t="s">
        <v>478</v>
      </c>
      <c r="G19" s="560" t="s">
        <v>705</v>
      </c>
      <c r="H19" s="565" t="s">
        <v>478</v>
      </c>
      <c r="I19" s="566" t="s">
        <v>706</v>
      </c>
      <c r="J19" s="565" t="s">
        <v>419</v>
      </c>
      <c r="K19" s="566" t="s">
        <v>703</v>
      </c>
      <c r="L19" s="561" t="s">
        <v>478</v>
      </c>
      <c r="M19" s="559" t="s">
        <v>707</v>
      </c>
      <c r="N19" s="565"/>
      <c r="O19" s="566"/>
      <c r="P19" s="565"/>
      <c r="Q19" s="566"/>
      <c r="R19" s="685" t="s">
        <v>90</v>
      </c>
      <c r="S19" s="686"/>
      <c r="T19" s="686"/>
      <c r="U19" s="687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59"/>
      <c r="C20" s="559"/>
      <c r="D20" s="558"/>
      <c r="E20" s="559"/>
      <c r="F20" s="563"/>
      <c r="G20" s="562"/>
      <c r="H20" s="565" t="s">
        <v>349</v>
      </c>
      <c r="I20" s="559" t="s">
        <v>701</v>
      </c>
      <c r="J20" s="558" t="s">
        <v>349</v>
      </c>
      <c r="K20" s="559" t="s">
        <v>702</v>
      </c>
      <c r="L20" s="561" t="s">
        <v>349</v>
      </c>
      <c r="M20" s="559" t="s">
        <v>418</v>
      </c>
      <c r="N20" s="558"/>
      <c r="O20" s="559"/>
      <c r="P20" s="558"/>
      <c r="Q20" s="559"/>
      <c r="R20" s="643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64"/>
      <c r="I21" s="107"/>
      <c r="J21" s="24"/>
      <c r="K21" s="160"/>
      <c r="L21" s="561"/>
      <c r="M21" s="559"/>
      <c r="N21" s="24"/>
      <c r="O21" s="107"/>
      <c r="P21" s="24"/>
      <c r="Q21" s="20"/>
      <c r="R21" s="168"/>
      <c r="S21" s="691" t="s">
        <v>93</v>
      </c>
      <c r="T21" s="691"/>
      <c r="U21" s="692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65"/>
      <c r="I22" s="107"/>
      <c r="J22" s="46"/>
      <c r="L22" s="173" t="s">
        <v>117</v>
      </c>
      <c r="M22" s="172"/>
      <c r="N22" s="558"/>
      <c r="O22" s="559"/>
      <c r="P22" s="176"/>
      <c r="Q22" s="177"/>
      <c r="R22" s="693"/>
      <c r="S22" s="694"/>
      <c r="T22" s="694"/>
      <c r="U22" s="695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96"/>
      <c r="S23" s="697"/>
      <c r="T23" s="697"/>
      <c r="U23" s="698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-24.377990430622013</v>
      </c>
      <c r="C30" s="218"/>
      <c r="D30" s="219">
        <f>D44</f>
        <v>1.9330143540669837</v>
      </c>
      <c r="E30" s="220"/>
      <c r="F30" s="221">
        <f>F44</f>
        <v>1.9330143540669837</v>
      </c>
      <c r="G30" s="221"/>
      <c r="H30" s="217">
        <f>H44</f>
        <v>10.933014354066984</v>
      </c>
      <c r="I30" s="218"/>
      <c r="J30" s="217">
        <f>J44</f>
        <v>16.933014354066984</v>
      </c>
      <c r="K30" s="222"/>
      <c r="L30" s="217">
        <f>L44</f>
        <v>12.933014354066984</v>
      </c>
      <c r="M30" s="222"/>
      <c r="N30" s="217">
        <f>N44</f>
        <v>0.80861244019138212</v>
      </c>
      <c r="O30" s="222"/>
      <c r="P30" s="152">
        <f>P44</f>
        <v>-21.095693779904309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631" t="s">
        <v>644</v>
      </c>
      <c r="C31" s="647" t="s">
        <v>99</v>
      </c>
      <c r="D31" s="631" t="s">
        <v>12</v>
      </c>
      <c r="E31" s="647" t="s">
        <v>99</v>
      </c>
      <c r="F31" s="648"/>
      <c r="G31" s="649"/>
      <c r="H31" s="650" t="s">
        <v>47</v>
      </c>
      <c r="I31" s="649" t="s">
        <v>242</v>
      </c>
      <c r="J31" s="24"/>
      <c r="K31" s="445"/>
      <c r="L31" s="456"/>
      <c r="M31" s="464"/>
      <c r="N31" s="457"/>
      <c r="O31" s="646"/>
      <c r="P31" s="622"/>
      <c r="Q31" s="445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57"/>
      <c r="G32" s="229"/>
      <c r="H32" s="482"/>
      <c r="I32" s="445"/>
      <c r="J32" s="24"/>
      <c r="K32" s="229"/>
      <c r="L32" s="441"/>
      <c r="M32" s="229"/>
      <c r="N32" s="46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644"/>
      <c r="C33" s="107"/>
      <c r="D33" s="242"/>
      <c r="E33" s="61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548</v>
      </c>
      <c r="T33" s="232" t="s">
        <v>109</v>
      </c>
      <c r="U33" s="247" t="s">
        <v>337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669"/>
      <c r="W40" s="670"/>
      <c r="X40" s="670"/>
      <c r="Y40" s="671"/>
      <c r="Z40" s="302"/>
      <c r="AA40" s="303"/>
    </row>
    <row r="41" spans="1:33" ht="73" thickBot="1">
      <c r="A41" s="304" t="s">
        <v>136</v>
      </c>
      <c r="B41" s="305">
        <f>SUM(B43:T43)</f>
        <v>20.900000000000002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672"/>
      <c r="W41" s="673"/>
      <c r="X41" s="673"/>
      <c r="Y41" s="674"/>
      <c r="Z41" s="302"/>
      <c r="AA41" s="303"/>
    </row>
    <row r="42" spans="1:33" ht="72">
      <c r="A42" s="304" t="s">
        <v>137</v>
      </c>
      <c r="B42" s="294">
        <f>B40/B41</f>
        <v>25.311004784688993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108">
      <c r="A43" s="310" t="s">
        <v>138</v>
      </c>
      <c r="B43" s="305">
        <f>C9</f>
        <v>2</v>
      </c>
      <c r="C43" s="295"/>
      <c r="D43" s="296">
        <f>E9</f>
        <v>3</v>
      </c>
      <c r="E43" s="297"/>
      <c r="F43" s="296">
        <f>G9</f>
        <v>3</v>
      </c>
      <c r="G43" s="297"/>
      <c r="H43" s="278">
        <f>I9</f>
        <v>3</v>
      </c>
      <c r="I43" s="299"/>
      <c r="J43" s="278">
        <f>K9</f>
        <v>3</v>
      </c>
      <c r="K43" s="299"/>
      <c r="L43" s="278">
        <f>M9</f>
        <v>3</v>
      </c>
      <c r="M43" s="299"/>
      <c r="N43" s="278">
        <f>O9</f>
        <v>2.6</v>
      </c>
      <c r="O43" s="299"/>
      <c r="P43" s="311">
        <f>Q9</f>
        <v>1.3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-24.377990430622013</v>
      </c>
      <c r="C44" s="295"/>
      <c r="D44" s="318">
        <f>B40/B41*D43-D45</f>
        <v>1.9330143540669837</v>
      </c>
      <c r="E44" s="319"/>
      <c r="F44" s="318">
        <f>B40/B41*F43-F45</f>
        <v>1.9330143540669837</v>
      </c>
      <c r="G44" s="320"/>
      <c r="H44" s="321">
        <f>B40/B41*H43-H45</f>
        <v>10.933014354066984</v>
      </c>
      <c r="I44" s="322"/>
      <c r="J44" s="321">
        <f>B40/B41*J43-J45</f>
        <v>16.933014354066984</v>
      </c>
      <c r="K44" s="322"/>
      <c r="L44" s="321">
        <f>B40/B41*L43-L45</f>
        <v>12.933014354066984</v>
      </c>
      <c r="M44" s="322"/>
      <c r="N44" s="321">
        <f>B40/B41*N43-N45</f>
        <v>0.80861244019138212</v>
      </c>
      <c r="O44" s="322"/>
      <c r="P44" s="311">
        <f>B40/B41*P43-P45</f>
        <v>-21.095693779904309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313</v>
      </c>
      <c r="K46" s="348">
        <v>59</v>
      </c>
      <c r="L46" s="349" t="s">
        <v>312</v>
      </c>
      <c r="M46" s="348">
        <v>63</v>
      </c>
      <c r="N46" s="349" t="s">
        <v>311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9.0500000000000007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58.453038674033145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50.622009569377987</v>
      </c>
      <c r="C50" s="354"/>
      <c r="D50" s="354">
        <f>B42*D43</f>
        <v>75.933014354066984</v>
      </c>
      <c r="E50" s="354"/>
      <c r="F50" s="354">
        <f>B42*F43</f>
        <v>75.933014354066984</v>
      </c>
      <c r="G50" s="354"/>
      <c r="H50" s="359">
        <f>B42*H43</f>
        <v>75.933014354066984</v>
      </c>
      <c r="I50" s="354"/>
      <c r="J50" s="354">
        <f>B42*J43</f>
        <v>75.933014354066984</v>
      </c>
      <c r="K50" s="354"/>
      <c r="L50" s="354">
        <f>B42*L43</f>
        <v>75.933014354066984</v>
      </c>
      <c r="M50" s="354"/>
      <c r="N50" s="359">
        <f>B42*N43</f>
        <v>65.808612440191382</v>
      </c>
      <c r="O50" s="354"/>
      <c r="P50" s="354">
        <f>B42*P43</f>
        <v>32.904306220095691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0.86602870813397126</v>
      </c>
      <c r="C51" s="354"/>
      <c r="D51" s="354">
        <f>D50/B49</f>
        <v>1.299043062200957</v>
      </c>
      <c r="E51" s="354"/>
      <c r="F51" s="354">
        <f>F50/B49</f>
        <v>1.299043062200957</v>
      </c>
      <c r="G51" s="354"/>
      <c r="H51" s="354">
        <f>H50/B49</f>
        <v>1.299043062200957</v>
      </c>
      <c r="I51" s="354"/>
      <c r="J51" s="354">
        <f>J50/B49</f>
        <v>1.299043062200957</v>
      </c>
      <c r="K51" s="354"/>
      <c r="L51" s="354">
        <f>L50/B49</f>
        <v>1.299043062200957</v>
      </c>
      <c r="M51" s="354"/>
      <c r="N51" s="359">
        <f>N50/B49</f>
        <v>1.1258373205741627</v>
      </c>
      <c r="O51" s="354"/>
      <c r="P51" s="354">
        <f>P50/B49</f>
        <v>0.56291866028708137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324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325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0.25</v>
      </c>
      <c r="F69" s="376">
        <f>Q17</f>
        <v>0.4</v>
      </c>
      <c r="G69" s="380">
        <v>3.3</v>
      </c>
      <c r="H69" s="376">
        <v>0</v>
      </c>
      <c r="I69" s="377">
        <v>0</v>
      </c>
      <c r="J69" s="376">
        <f>SUM(C69:H69)</f>
        <v>4.9499999999999993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J101"/>
  <sheetViews>
    <sheetView zoomScale="30" zoomScaleNormal="30" workbookViewId="0">
      <selection activeCell="E32" sqref="E32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45988</v>
      </c>
      <c r="E1" s="3" t="str">
        <f>TEXT(D1, "dddd")</f>
        <v>星期四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82" t="s">
        <v>196</v>
      </c>
      <c r="C3" s="483"/>
      <c r="D3" s="482" t="s">
        <v>25</v>
      </c>
      <c r="E3" s="568"/>
      <c r="F3" s="484" t="s">
        <v>198</v>
      </c>
      <c r="G3" s="485"/>
      <c r="H3" s="486" t="s">
        <v>538</v>
      </c>
      <c r="I3" s="485"/>
      <c r="J3" s="482" t="s">
        <v>297</v>
      </c>
      <c r="K3" s="485"/>
      <c r="L3" s="482" t="s">
        <v>301</v>
      </c>
      <c r="M3" s="485"/>
      <c r="N3" s="482" t="s">
        <v>15</v>
      </c>
      <c r="O3" s="485"/>
      <c r="P3" s="482" t="s">
        <v>28</v>
      </c>
      <c r="Q3" s="483"/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82" t="s">
        <v>33</v>
      </c>
      <c r="C4" s="483"/>
      <c r="D4" s="482" t="s">
        <v>34</v>
      </c>
      <c r="E4" s="485"/>
      <c r="F4" s="482" t="s">
        <v>299</v>
      </c>
      <c r="G4" s="485"/>
      <c r="H4" s="482" t="s">
        <v>308</v>
      </c>
      <c r="I4" s="485"/>
      <c r="J4" s="482" t="s">
        <v>26</v>
      </c>
      <c r="K4" s="488"/>
      <c r="L4" s="482" t="s">
        <v>27</v>
      </c>
      <c r="M4" s="485"/>
      <c r="N4" s="482" t="s">
        <v>38</v>
      </c>
      <c r="O4" s="485"/>
      <c r="P4" s="482" t="s">
        <v>50</v>
      </c>
      <c r="Q4" s="485"/>
      <c r="R4" s="33" t="s">
        <v>305</v>
      </c>
      <c r="S4" s="34"/>
      <c r="T4" s="34" t="s">
        <v>423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82"/>
      <c r="C5" s="485"/>
      <c r="D5" s="482" t="s">
        <v>23</v>
      </c>
      <c r="E5" s="484"/>
      <c r="F5" s="482" t="s">
        <v>300</v>
      </c>
      <c r="G5" s="485"/>
      <c r="H5" s="482" t="s">
        <v>37</v>
      </c>
      <c r="I5" s="484"/>
      <c r="J5" s="482" t="s">
        <v>14</v>
      </c>
      <c r="K5" s="485" t="s">
        <v>710</v>
      </c>
      <c r="L5" s="489" t="s">
        <v>315</v>
      </c>
      <c r="M5" s="485"/>
      <c r="N5" s="482" t="s">
        <v>621</v>
      </c>
      <c r="O5" s="485"/>
      <c r="P5" s="482"/>
      <c r="Q5" s="484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82"/>
      <c r="E6" s="485"/>
      <c r="F6" s="482"/>
      <c r="G6" s="485"/>
      <c r="H6" s="482"/>
      <c r="I6" s="484"/>
      <c r="J6" s="482"/>
      <c r="K6" s="485"/>
      <c r="L6" s="482"/>
      <c r="M6" s="483"/>
      <c r="N6" s="482"/>
      <c r="O6" s="484"/>
      <c r="P6" s="482"/>
      <c r="Q6" s="485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82"/>
      <c r="C7" s="485"/>
      <c r="D7" s="482"/>
      <c r="E7" s="485"/>
      <c r="F7" s="482"/>
      <c r="G7" s="487"/>
      <c r="H7" s="482"/>
      <c r="I7" s="485"/>
      <c r="J7" s="482"/>
      <c r="K7" s="483"/>
      <c r="L7" s="490"/>
      <c r="M7" s="483"/>
      <c r="N7" s="482"/>
      <c r="O7" s="485"/>
      <c r="P7" s="491"/>
      <c r="Q7" s="487"/>
      <c r="R7" s="403" t="s">
        <v>246</v>
      </c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92"/>
      <c r="C8" s="493"/>
      <c r="D8" s="492"/>
      <c r="E8" s="485"/>
      <c r="F8" s="482"/>
      <c r="G8" s="484"/>
      <c r="H8" s="482"/>
      <c r="I8" s="484"/>
      <c r="J8" s="492"/>
      <c r="K8" s="494" t="s">
        <v>45</v>
      </c>
      <c r="L8" s="495"/>
      <c r="M8" s="494"/>
      <c r="N8" s="482"/>
      <c r="O8" s="485"/>
      <c r="P8" s="492"/>
      <c r="Q8" s="496"/>
      <c r="R8" s="49" t="s">
        <v>685</v>
      </c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97"/>
      <c r="C9" s="498">
        <v>2</v>
      </c>
      <c r="D9" s="499"/>
      <c r="E9" s="498">
        <v>3</v>
      </c>
      <c r="F9" s="499"/>
      <c r="G9" s="498">
        <v>3</v>
      </c>
      <c r="H9" s="500">
        <v>3</v>
      </c>
      <c r="I9" s="498">
        <f>H9-I11</f>
        <v>3</v>
      </c>
      <c r="J9" s="499"/>
      <c r="K9" s="498">
        <v>2.5</v>
      </c>
      <c r="L9" s="499">
        <v>3</v>
      </c>
      <c r="M9" s="498">
        <f>L9-M11</f>
        <v>2.75</v>
      </c>
      <c r="N9" s="501">
        <v>3</v>
      </c>
      <c r="O9" s="498">
        <f>N9-O11</f>
        <v>3</v>
      </c>
      <c r="P9" s="492">
        <v>2</v>
      </c>
      <c r="Q9" s="502">
        <f>P9-Q11</f>
        <v>1.3</v>
      </c>
      <c r="R9" s="651" t="s">
        <v>686</v>
      </c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503"/>
      <c r="C10" s="504"/>
      <c r="D10" s="501"/>
      <c r="E10" s="505"/>
      <c r="F10" s="506"/>
      <c r="G10" s="507"/>
      <c r="H10" s="508"/>
      <c r="I10" s="505"/>
      <c r="J10" s="503"/>
      <c r="K10" s="509"/>
      <c r="L10" s="510"/>
      <c r="M10" s="509"/>
      <c r="N10" s="482"/>
      <c r="O10" s="484"/>
      <c r="P10" s="492"/>
      <c r="Q10" s="487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511"/>
      <c r="C11" s="512"/>
      <c r="D11" s="513"/>
      <c r="E11" s="514"/>
      <c r="F11" s="515"/>
      <c r="G11" s="512"/>
      <c r="H11" s="516" t="s">
        <v>53</v>
      </c>
      <c r="I11" s="517">
        <v>0</v>
      </c>
      <c r="J11" s="515"/>
      <c r="K11" s="518"/>
      <c r="L11" s="516" t="s">
        <v>53</v>
      </c>
      <c r="M11" s="518">
        <v>0.25</v>
      </c>
      <c r="N11" s="516" t="s">
        <v>53</v>
      </c>
      <c r="O11" s="517">
        <v>0</v>
      </c>
      <c r="P11" s="515" t="s">
        <v>54</v>
      </c>
      <c r="Q11" s="519">
        <v>0.7</v>
      </c>
      <c r="R11" s="92" t="s">
        <v>660</v>
      </c>
      <c r="S11" s="481" t="s">
        <v>661</v>
      </c>
      <c r="T11" s="641" t="s">
        <v>361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636" t="s">
        <v>67</v>
      </c>
      <c r="C12" s="628" t="s">
        <v>213</v>
      </c>
      <c r="D12" s="636" t="s">
        <v>190</v>
      </c>
      <c r="E12" s="628" t="s">
        <v>59</v>
      </c>
      <c r="F12" s="627" t="s">
        <v>613</v>
      </c>
      <c r="G12" s="559" t="s">
        <v>691</v>
      </c>
      <c r="H12" s="629" t="s">
        <v>614</v>
      </c>
      <c r="I12" s="628" t="s">
        <v>691</v>
      </c>
      <c r="J12" s="629" t="s">
        <v>615</v>
      </c>
      <c r="K12" s="559" t="s">
        <v>213</v>
      </c>
      <c r="L12" s="637" t="s">
        <v>339</v>
      </c>
      <c r="M12" s="559" t="s">
        <v>213</v>
      </c>
      <c r="N12" s="630" t="s">
        <v>617</v>
      </c>
      <c r="O12" s="559" t="s">
        <v>213</v>
      </c>
      <c r="P12" s="639" t="s">
        <v>630</v>
      </c>
      <c r="Q12" s="632" t="s">
        <v>691</v>
      </c>
      <c r="R12" s="641" t="s">
        <v>190</v>
      </c>
      <c r="S12" s="645" t="s">
        <v>687</v>
      </c>
      <c r="T12" s="47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638"/>
      <c r="C13" s="634"/>
      <c r="D13" s="638" t="s">
        <v>715</v>
      </c>
      <c r="E13" s="634" t="s">
        <v>191</v>
      </c>
      <c r="F13" s="636" t="s">
        <v>714</v>
      </c>
      <c r="G13" s="634" t="s">
        <v>717</v>
      </c>
      <c r="H13" s="638" t="s">
        <v>711</v>
      </c>
      <c r="I13" s="634" t="s">
        <v>713</v>
      </c>
      <c r="J13" s="653" t="s">
        <v>711</v>
      </c>
      <c r="K13" s="559" t="s">
        <v>712</v>
      </c>
      <c r="L13" s="655" t="s">
        <v>361</v>
      </c>
      <c r="M13" s="634" t="s">
        <v>720</v>
      </c>
      <c r="N13" s="638" t="s">
        <v>73</v>
      </c>
      <c r="O13" s="634" t="s">
        <v>191</v>
      </c>
      <c r="P13" s="638"/>
      <c r="Q13" s="634"/>
      <c r="R13" s="472" t="s">
        <v>326</v>
      </c>
      <c r="S13" s="474" t="s">
        <v>319</v>
      </c>
      <c r="T13" s="640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636"/>
      <c r="C14" s="634"/>
      <c r="D14" s="638"/>
      <c r="E14" s="634"/>
      <c r="F14" s="638" t="s">
        <v>718</v>
      </c>
      <c r="G14" s="634" t="s">
        <v>74</v>
      </c>
      <c r="H14" s="656" t="s">
        <v>714</v>
      </c>
      <c r="I14" s="634" t="s">
        <v>716</v>
      </c>
      <c r="J14" s="629"/>
      <c r="K14" s="635"/>
      <c r="L14" s="46"/>
      <c r="N14" s="637"/>
      <c r="O14" s="634"/>
      <c r="P14" s="631"/>
      <c r="Q14" s="634"/>
      <c r="R14" s="581" t="s">
        <v>425</v>
      </c>
      <c r="S14" s="474" t="s">
        <v>356</v>
      </c>
      <c r="T14" s="55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35"/>
      <c r="C15" s="537"/>
      <c r="D15" s="637"/>
      <c r="E15" s="559"/>
      <c r="F15" s="532"/>
      <c r="G15" s="534"/>
      <c r="H15" s="608"/>
      <c r="I15" s="602"/>
      <c r="J15" s="46"/>
      <c r="L15" s="638"/>
      <c r="M15" s="634"/>
      <c r="N15" s="535"/>
      <c r="O15" s="590"/>
      <c r="P15" s="506"/>
      <c r="Q15" s="524"/>
      <c r="R15" s="472" t="s">
        <v>321</v>
      </c>
      <c r="S15" s="474" t="s">
        <v>484</v>
      </c>
      <c r="T15" s="55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71"/>
      <c r="C16" s="485"/>
      <c r="D16" s="577"/>
      <c r="E16" s="573"/>
      <c r="F16" s="571"/>
      <c r="G16" s="485"/>
      <c r="H16" s="574"/>
      <c r="I16" s="485"/>
      <c r="J16" s="525"/>
      <c r="K16" s="575"/>
      <c r="L16" s="576"/>
      <c r="M16" s="575"/>
      <c r="N16" s="571"/>
      <c r="O16" s="591"/>
      <c r="P16" s="571"/>
      <c r="Q16" s="540"/>
      <c r="R16" s="471" t="s">
        <v>65</v>
      </c>
      <c r="S16" s="652" t="s">
        <v>262</v>
      </c>
      <c r="T16" s="55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532"/>
      <c r="C17" s="541"/>
      <c r="D17" s="577" t="s">
        <v>413</v>
      </c>
      <c r="E17" s="543" t="s">
        <v>39</v>
      </c>
      <c r="F17" s="577" t="s">
        <v>413</v>
      </c>
      <c r="G17" s="544" t="s">
        <v>36</v>
      </c>
      <c r="H17" s="545"/>
      <c r="I17" s="546"/>
      <c r="J17" s="482"/>
      <c r="K17" s="484"/>
      <c r="L17" s="610" t="s">
        <v>382</v>
      </c>
      <c r="M17" s="546" t="s">
        <v>74</v>
      </c>
      <c r="N17" s="610"/>
      <c r="O17" s="546"/>
      <c r="P17" s="547" t="s">
        <v>54</v>
      </c>
      <c r="Q17" s="548">
        <v>0.4</v>
      </c>
      <c r="R17" s="678" t="s">
        <v>719</v>
      </c>
      <c r="S17" s="679"/>
      <c r="T17" s="680"/>
      <c r="U17" s="681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549">
        <f>B51</f>
        <v>1.1046228710462287</v>
      </c>
      <c r="C18" s="550"/>
      <c r="D18" s="549">
        <f>D51</f>
        <v>1.6569343065693429</v>
      </c>
      <c r="E18" s="551"/>
      <c r="F18" s="549">
        <f>F51</f>
        <v>1.6569343065693429</v>
      </c>
      <c r="G18" s="550"/>
      <c r="H18" s="549">
        <f>H51</f>
        <v>1.6569343065693429</v>
      </c>
      <c r="I18" s="550"/>
      <c r="J18" s="552">
        <f>J51</f>
        <v>1.3807785888077859</v>
      </c>
      <c r="K18" s="550"/>
      <c r="L18" s="552">
        <f>L51</f>
        <v>1.5188564476885642</v>
      </c>
      <c r="M18" s="550"/>
      <c r="N18" s="549">
        <f>N51</f>
        <v>1.6569343065693429</v>
      </c>
      <c r="O18" s="551"/>
      <c r="P18" s="553">
        <f>P51</f>
        <v>0.71800486618004855</v>
      </c>
      <c r="Q18" s="551">
        <f>P18+Q17</f>
        <v>1.1180048661800486</v>
      </c>
      <c r="R18" s="682"/>
      <c r="S18" s="683"/>
      <c r="T18" s="683"/>
      <c r="U18" s="684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65"/>
      <c r="C19" s="566"/>
      <c r="D19" s="565" t="s">
        <v>349</v>
      </c>
      <c r="E19" s="566" t="s">
        <v>721</v>
      </c>
      <c r="F19" s="565" t="s">
        <v>419</v>
      </c>
      <c r="G19" s="560" t="s">
        <v>725</v>
      </c>
      <c r="H19" s="565" t="s">
        <v>349</v>
      </c>
      <c r="I19" s="566" t="s">
        <v>722</v>
      </c>
      <c r="J19" s="565" t="s">
        <v>349</v>
      </c>
      <c r="K19" s="566" t="s">
        <v>723</v>
      </c>
      <c r="L19" s="561" t="s">
        <v>419</v>
      </c>
      <c r="M19" s="559" t="s">
        <v>724</v>
      </c>
      <c r="N19" s="565" t="s">
        <v>478</v>
      </c>
      <c r="O19" s="566" t="s">
        <v>726</v>
      </c>
      <c r="P19" s="565"/>
      <c r="Q19" s="566"/>
      <c r="R19" s="685" t="s">
        <v>90</v>
      </c>
      <c r="S19" s="686"/>
      <c r="T19" s="686"/>
      <c r="U19" s="687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59"/>
      <c r="C20" s="559"/>
      <c r="D20" s="558"/>
      <c r="E20" s="559"/>
      <c r="F20" s="563"/>
      <c r="G20" s="562"/>
      <c r="H20" s="565"/>
      <c r="I20" s="559"/>
      <c r="J20" s="558"/>
      <c r="K20" s="559"/>
      <c r="L20" s="561"/>
      <c r="M20" s="559"/>
      <c r="N20" s="558"/>
      <c r="O20" s="559"/>
      <c r="P20" s="558"/>
      <c r="Q20" s="559"/>
      <c r="R20" s="643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64"/>
      <c r="I21" s="107"/>
      <c r="J21" s="24"/>
      <c r="K21" s="160"/>
      <c r="L21" s="561"/>
      <c r="M21" s="559"/>
      <c r="N21" s="24"/>
      <c r="O21" s="107"/>
      <c r="P21" s="24"/>
      <c r="Q21" s="20"/>
      <c r="R21" s="168"/>
      <c r="S21" s="691" t="s">
        <v>93</v>
      </c>
      <c r="T21" s="691"/>
      <c r="U21" s="692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65"/>
      <c r="I22" s="107"/>
      <c r="J22" s="46"/>
      <c r="L22" s="173" t="s">
        <v>117</v>
      </c>
      <c r="M22" s="172"/>
      <c r="N22" s="558"/>
      <c r="O22" s="559"/>
      <c r="P22" s="176"/>
      <c r="Q22" s="177"/>
      <c r="R22" s="693"/>
      <c r="S22" s="694"/>
      <c r="T22" s="694"/>
      <c r="U22" s="695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96"/>
      <c r="S23" s="697"/>
      <c r="T23" s="697"/>
      <c r="U23" s="698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-23.515815085158152</v>
      </c>
      <c r="C30" s="218"/>
      <c r="D30" s="219">
        <f>D44</f>
        <v>3.2262773722627713</v>
      </c>
      <c r="E30" s="220"/>
      <c r="F30" s="221">
        <f>F44</f>
        <v>3.2262773722627713</v>
      </c>
      <c r="G30" s="221"/>
      <c r="H30" s="217">
        <f>H44</f>
        <v>12.226277372262771</v>
      </c>
      <c r="I30" s="218"/>
      <c r="J30" s="217">
        <f>J44</f>
        <v>5.3552311435523166</v>
      </c>
      <c r="K30" s="222"/>
      <c r="L30" s="217">
        <f>L44</f>
        <v>7.7907542579075368</v>
      </c>
      <c r="M30" s="222"/>
      <c r="N30" s="217">
        <f>N44</f>
        <v>12.226277372262771</v>
      </c>
      <c r="O30" s="222"/>
      <c r="P30" s="152">
        <f>P44</f>
        <v>-20.535279805352801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631" t="s">
        <v>644</v>
      </c>
      <c r="C31" s="647" t="s">
        <v>99</v>
      </c>
      <c r="D31" s="631" t="s">
        <v>12</v>
      </c>
      <c r="E31" s="647" t="s">
        <v>99</v>
      </c>
      <c r="F31" s="648"/>
      <c r="G31" s="649"/>
      <c r="H31" s="650" t="s">
        <v>47</v>
      </c>
      <c r="I31" s="649" t="s">
        <v>242</v>
      </c>
      <c r="J31" s="24" t="s">
        <v>709</v>
      </c>
      <c r="K31" s="445"/>
      <c r="L31" s="456"/>
      <c r="M31" s="464"/>
      <c r="N31" s="457" t="s">
        <v>708</v>
      </c>
      <c r="O31" s="646"/>
      <c r="P31" s="622"/>
      <c r="Q31" s="445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 t="s">
        <v>729</v>
      </c>
      <c r="E32" s="229"/>
      <c r="F32" s="457"/>
      <c r="G32" s="229"/>
      <c r="H32" s="482"/>
      <c r="I32" s="445"/>
      <c r="J32" s="24"/>
      <c r="K32" s="229"/>
      <c r="L32" s="441"/>
      <c r="M32" s="229"/>
      <c r="N32" s="46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644"/>
      <c r="C33" s="107"/>
      <c r="D33" s="242"/>
      <c r="E33" s="61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548</v>
      </c>
      <c r="T33" s="232" t="s">
        <v>109</v>
      </c>
      <c r="U33" s="247" t="s">
        <v>337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669"/>
      <c r="W40" s="670"/>
      <c r="X40" s="670"/>
      <c r="Y40" s="671"/>
      <c r="Z40" s="302"/>
      <c r="AA40" s="303"/>
    </row>
    <row r="41" spans="1:33" ht="73" thickBot="1">
      <c r="A41" s="304" t="s">
        <v>136</v>
      </c>
      <c r="B41" s="305">
        <f>SUM(B43:T43)</f>
        <v>20.55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672"/>
      <c r="W41" s="673"/>
      <c r="X41" s="673"/>
      <c r="Y41" s="674"/>
      <c r="Z41" s="302"/>
      <c r="AA41" s="303"/>
    </row>
    <row r="42" spans="1:33" ht="72">
      <c r="A42" s="304" t="s">
        <v>137</v>
      </c>
      <c r="B42" s="294">
        <f>B40/B41</f>
        <v>25.742092457420924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2</v>
      </c>
      <c r="C43" s="295"/>
      <c r="D43" s="296">
        <f>E9</f>
        <v>3</v>
      </c>
      <c r="E43" s="297"/>
      <c r="F43" s="296">
        <f>G9</f>
        <v>3</v>
      </c>
      <c r="G43" s="297"/>
      <c r="H43" s="278">
        <f>I9</f>
        <v>3</v>
      </c>
      <c r="I43" s="299"/>
      <c r="J43" s="278">
        <f>K9</f>
        <v>2.5</v>
      </c>
      <c r="K43" s="299"/>
      <c r="L43" s="278">
        <f>M9</f>
        <v>2.75</v>
      </c>
      <c r="M43" s="299"/>
      <c r="N43" s="278">
        <f>O9</f>
        <v>3</v>
      </c>
      <c r="O43" s="299"/>
      <c r="P43" s="311">
        <f>Q9</f>
        <v>1.3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-23.515815085158152</v>
      </c>
      <c r="C44" s="295"/>
      <c r="D44" s="318">
        <f>B40/B41*D43-D45</f>
        <v>3.2262773722627713</v>
      </c>
      <c r="E44" s="319"/>
      <c r="F44" s="318">
        <f>B40/B41*F43-F45</f>
        <v>3.2262773722627713</v>
      </c>
      <c r="G44" s="320"/>
      <c r="H44" s="321">
        <f>B40/B41*H43-H45</f>
        <v>12.226277372262771</v>
      </c>
      <c r="I44" s="322"/>
      <c r="J44" s="321">
        <f>B40/B41*J43-J45</f>
        <v>5.3552311435523166</v>
      </c>
      <c r="K44" s="322"/>
      <c r="L44" s="321">
        <f>B40/B41*L43-L45</f>
        <v>7.7907542579075368</v>
      </c>
      <c r="M44" s="322"/>
      <c r="N44" s="321">
        <f>B40/B41*N43-N45</f>
        <v>12.226277372262771</v>
      </c>
      <c r="O44" s="322"/>
      <c r="P44" s="311">
        <f>B40/B41*P43-P45</f>
        <v>-20.535279805352801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313</v>
      </c>
      <c r="K46" s="348">
        <v>59</v>
      </c>
      <c r="L46" s="349" t="s">
        <v>312</v>
      </c>
      <c r="M46" s="348">
        <v>63</v>
      </c>
      <c r="N46" s="349" t="s">
        <v>311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46.607929515418505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51.484184914841848</v>
      </c>
      <c r="C50" s="354"/>
      <c r="D50" s="354">
        <f>B42*D43</f>
        <v>77.226277372262771</v>
      </c>
      <c r="E50" s="354"/>
      <c r="F50" s="354">
        <f>B42*F43</f>
        <v>77.226277372262771</v>
      </c>
      <c r="G50" s="354"/>
      <c r="H50" s="359">
        <f>B42*H43</f>
        <v>77.226277372262771</v>
      </c>
      <c r="I50" s="354"/>
      <c r="J50" s="354">
        <f>B42*J43</f>
        <v>64.355231143552317</v>
      </c>
      <c r="K50" s="354"/>
      <c r="L50" s="354">
        <f>B42*L43</f>
        <v>70.790754257907537</v>
      </c>
      <c r="M50" s="354"/>
      <c r="N50" s="359">
        <f>B42*N43</f>
        <v>77.226277372262771</v>
      </c>
      <c r="O50" s="354"/>
      <c r="P50" s="354">
        <f>B42*P43</f>
        <v>33.464720194647199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1.1046228710462287</v>
      </c>
      <c r="C51" s="354"/>
      <c r="D51" s="354">
        <f>D50/B49</f>
        <v>1.6569343065693429</v>
      </c>
      <c r="E51" s="354"/>
      <c r="F51" s="354">
        <f>F50/B49</f>
        <v>1.6569343065693429</v>
      </c>
      <c r="G51" s="354"/>
      <c r="H51" s="354">
        <f>H50/B49</f>
        <v>1.6569343065693429</v>
      </c>
      <c r="I51" s="354"/>
      <c r="J51" s="354">
        <f>J50/B49</f>
        <v>1.3807785888077859</v>
      </c>
      <c r="K51" s="354"/>
      <c r="L51" s="354">
        <f>L50/B49</f>
        <v>1.5188564476885642</v>
      </c>
      <c r="M51" s="354"/>
      <c r="N51" s="359">
        <f>N50/B49</f>
        <v>1.6569343065693429</v>
      </c>
      <c r="O51" s="354"/>
      <c r="P51" s="354">
        <f>P50/B49</f>
        <v>0.71800486618004855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324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325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0.25</v>
      </c>
      <c r="F69" s="376">
        <f>Q17</f>
        <v>0.4</v>
      </c>
      <c r="G69" s="380">
        <v>1</v>
      </c>
      <c r="H69" s="376">
        <v>0</v>
      </c>
      <c r="I69" s="377">
        <v>0</v>
      </c>
      <c r="J69" s="376">
        <f>SUM(C69:H69)</f>
        <v>2.65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J101"/>
  <sheetViews>
    <sheetView zoomScale="50" zoomScaleNormal="50" workbookViewId="0">
      <selection activeCell="K20" sqref="K20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45989</v>
      </c>
      <c r="E1" s="3" t="str">
        <f>TEXT(D1, "dddd")</f>
        <v>星期五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58"/>
      <c r="L2" s="14" t="s">
        <v>310</v>
      </c>
      <c r="M2" s="12"/>
      <c r="N2" s="14" t="s">
        <v>309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82" t="s">
        <v>196</v>
      </c>
      <c r="C3" s="483"/>
      <c r="D3" s="482" t="s">
        <v>25</v>
      </c>
      <c r="E3" s="568"/>
      <c r="F3" s="484" t="s">
        <v>198</v>
      </c>
      <c r="G3" s="485"/>
      <c r="H3" s="486" t="s">
        <v>538</v>
      </c>
      <c r="I3" s="485"/>
      <c r="J3" s="482" t="s">
        <v>297</v>
      </c>
      <c r="K3" s="485"/>
      <c r="L3" s="482" t="s">
        <v>301</v>
      </c>
      <c r="M3" s="485"/>
      <c r="N3" s="482" t="s">
        <v>15</v>
      </c>
      <c r="O3" s="485"/>
      <c r="P3" s="482" t="s">
        <v>28</v>
      </c>
      <c r="Q3" s="483"/>
      <c r="R3" s="675" t="s">
        <v>314</v>
      </c>
      <c r="S3" s="676"/>
      <c r="T3" s="676"/>
      <c r="U3" s="677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82" t="s">
        <v>33</v>
      </c>
      <c r="C4" s="483"/>
      <c r="D4" s="482" t="s">
        <v>34</v>
      </c>
      <c r="E4" s="485"/>
      <c r="F4" s="482" t="s">
        <v>299</v>
      </c>
      <c r="G4" s="485"/>
      <c r="H4" s="482" t="s">
        <v>308</v>
      </c>
      <c r="I4" s="485"/>
      <c r="J4" s="482" t="s">
        <v>26</v>
      </c>
      <c r="K4" s="488"/>
      <c r="L4" s="482" t="s">
        <v>27</v>
      </c>
      <c r="M4" s="485"/>
      <c r="N4" s="482" t="s">
        <v>38</v>
      </c>
      <c r="O4" s="485"/>
      <c r="P4" s="482" t="s">
        <v>50</v>
      </c>
      <c r="Q4" s="485"/>
      <c r="R4" s="33" t="s">
        <v>305</v>
      </c>
      <c r="S4" s="34"/>
      <c r="T4" s="34" t="s">
        <v>423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82"/>
      <c r="C5" s="485"/>
      <c r="D5" s="482" t="s">
        <v>424</v>
      </c>
      <c r="E5" s="484">
        <v>0.75</v>
      </c>
      <c r="F5" s="482" t="s">
        <v>300</v>
      </c>
      <c r="G5" s="485"/>
      <c r="H5" s="482" t="s">
        <v>37</v>
      </c>
      <c r="I5" s="484"/>
      <c r="J5" s="482" t="s">
        <v>14</v>
      </c>
      <c r="K5" s="485"/>
      <c r="L5" s="489" t="s">
        <v>315</v>
      </c>
      <c r="M5" s="485"/>
      <c r="N5" s="482" t="s">
        <v>621</v>
      </c>
      <c r="O5" s="485"/>
      <c r="P5" s="482"/>
      <c r="Q5" s="484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82"/>
      <c r="E6" s="485"/>
      <c r="F6" s="482"/>
      <c r="G6" s="485"/>
      <c r="H6" s="482"/>
      <c r="I6" s="484"/>
      <c r="J6" s="482"/>
      <c r="K6" s="485"/>
      <c r="L6" s="482"/>
      <c r="M6" s="483"/>
      <c r="N6" s="482"/>
      <c r="O6" s="484"/>
      <c r="P6" s="482"/>
      <c r="Q6" s="485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82"/>
      <c r="C7" s="485"/>
      <c r="D7" s="482"/>
      <c r="E7" s="485"/>
      <c r="F7" s="482"/>
      <c r="G7" s="487"/>
      <c r="H7" s="482"/>
      <c r="I7" s="485"/>
      <c r="J7" s="482"/>
      <c r="K7" s="483"/>
      <c r="L7" s="490"/>
      <c r="M7" s="483"/>
      <c r="N7" s="482"/>
      <c r="O7" s="485"/>
      <c r="P7" s="491"/>
      <c r="Q7" s="487"/>
      <c r="R7" s="403" t="s">
        <v>246</v>
      </c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92"/>
      <c r="C8" s="493"/>
      <c r="D8" s="492"/>
      <c r="E8" s="485"/>
      <c r="F8" s="482"/>
      <c r="G8" s="484"/>
      <c r="H8" s="482"/>
      <c r="I8" s="484"/>
      <c r="J8" s="492"/>
      <c r="K8" s="494" t="s">
        <v>45</v>
      </c>
      <c r="L8" s="495"/>
      <c r="M8" s="494"/>
      <c r="N8" s="482"/>
      <c r="O8" s="485"/>
      <c r="P8" s="492"/>
      <c r="Q8" s="496"/>
      <c r="R8" s="49" t="s">
        <v>728</v>
      </c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97"/>
      <c r="C9" s="498">
        <v>2</v>
      </c>
      <c r="D9" s="499"/>
      <c r="E9" s="498">
        <v>2.75</v>
      </c>
      <c r="F9" s="499"/>
      <c r="G9" s="498">
        <v>3</v>
      </c>
      <c r="H9" s="500">
        <v>3</v>
      </c>
      <c r="I9" s="498">
        <f>H9-I11</f>
        <v>3</v>
      </c>
      <c r="J9" s="499"/>
      <c r="K9" s="498">
        <v>3</v>
      </c>
      <c r="L9" s="499">
        <v>3</v>
      </c>
      <c r="M9" s="498">
        <f>L9-M11</f>
        <v>3</v>
      </c>
      <c r="N9" s="501">
        <v>3</v>
      </c>
      <c r="O9" s="498">
        <f>N9-O11</f>
        <v>2.75</v>
      </c>
      <c r="P9" s="492">
        <v>2</v>
      </c>
      <c r="Q9" s="502">
        <f>P9-Q11</f>
        <v>1.3</v>
      </c>
      <c r="R9" s="651" t="s">
        <v>686</v>
      </c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503"/>
      <c r="C10" s="504"/>
      <c r="D10" s="501"/>
      <c r="E10" s="505"/>
      <c r="F10" s="506"/>
      <c r="G10" s="507"/>
      <c r="H10" s="508"/>
      <c r="I10" s="505"/>
      <c r="J10" s="503"/>
      <c r="K10" s="509"/>
      <c r="L10" s="510"/>
      <c r="M10" s="509"/>
      <c r="N10" s="482"/>
      <c r="O10" s="484"/>
      <c r="P10" s="492"/>
      <c r="Q10" s="487"/>
      <c r="R10" s="436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55" t="s">
        <v>52</v>
      </c>
      <c r="B11" s="511"/>
      <c r="C11" s="512"/>
      <c r="D11" s="513"/>
      <c r="E11" s="514"/>
      <c r="F11" s="515"/>
      <c r="G11" s="512"/>
      <c r="H11" s="516" t="s">
        <v>53</v>
      </c>
      <c r="I11" s="517">
        <v>0</v>
      </c>
      <c r="J11" s="515"/>
      <c r="K11" s="518"/>
      <c r="L11" s="516" t="s">
        <v>53</v>
      </c>
      <c r="M11" s="518">
        <v>0</v>
      </c>
      <c r="N11" s="516" t="s">
        <v>53</v>
      </c>
      <c r="O11" s="517">
        <v>0.25</v>
      </c>
      <c r="P11" s="515" t="s">
        <v>54</v>
      </c>
      <c r="Q11" s="519">
        <v>0.7</v>
      </c>
      <c r="R11" s="92" t="s">
        <v>660</v>
      </c>
      <c r="S11" s="474" t="s">
        <v>661</v>
      </c>
      <c r="T11" s="641" t="s">
        <v>361</v>
      </c>
      <c r="U11" s="400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7" t="s">
        <v>58</v>
      </c>
      <c r="B12" s="636" t="s">
        <v>67</v>
      </c>
      <c r="C12" s="628" t="s">
        <v>213</v>
      </c>
      <c r="D12" s="636" t="s">
        <v>190</v>
      </c>
      <c r="E12" s="628" t="s">
        <v>59</v>
      </c>
      <c r="F12" s="627" t="s">
        <v>613</v>
      </c>
      <c r="G12" s="559" t="s">
        <v>691</v>
      </c>
      <c r="H12" s="629" t="s">
        <v>614</v>
      </c>
      <c r="I12" s="628" t="s">
        <v>691</v>
      </c>
      <c r="J12" s="629" t="s">
        <v>615</v>
      </c>
      <c r="K12" s="559" t="s">
        <v>213</v>
      </c>
      <c r="L12" s="637" t="s">
        <v>339</v>
      </c>
      <c r="M12" s="559" t="s">
        <v>213</v>
      </c>
      <c r="N12" s="630" t="s">
        <v>617</v>
      </c>
      <c r="O12" s="559" t="s">
        <v>213</v>
      </c>
      <c r="P12" s="639" t="s">
        <v>630</v>
      </c>
      <c r="Q12" s="632" t="s">
        <v>691</v>
      </c>
      <c r="R12" s="641" t="s">
        <v>190</v>
      </c>
      <c r="S12" s="641" t="s">
        <v>687</v>
      </c>
      <c r="T12" s="471" t="s">
        <v>67</v>
      </c>
      <c r="U12" s="401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638"/>
      <c r="C13" s="634"/>
      <c r="D13" s="638" t="s">
        <v>262</v>
      </c>
      <c r="E13" s="634" t="s">
        <v>194</v>
      </c>
      <c r="F13" s="636" t="s">
        <v>263</v>
      </c>
      <c r="G13" s="185" t="s">
        <v>36</v>
      </c>
      <c r="H13" s="638" t="s">
        <v>263</v>
      </c>
      <c r="I13" s="634" t="s">
        <v>39</v>
      </c>
      <c r="J13" s="653" t="s">
        <v>361</v>
      </c>
      <c r="K13" s="559" t="s">
        <v>39</v>
      </c>
      <c r="L13" s="655" t="s">
        <v>73</v>
      </c>
      <c r="M13" s="634" t="s">
        <v>384</v>
      </c>
      <c r="N13" s="638" t="s">
        <v>73</v>
      </c>
      <c r="O13" s="634" t="s">
        <v>261</v>
      </c>
      <c r="P13" s="638"/>
      <c r="Q13" s="634"/>
      <c r="R13" s="472" t="s">
        <v>326</v>
      </c>
      <c r="S13" s="474" t="s">
        <v>731</v>
      </c>
      <c r="T13" s="644"/>
      <c r="U13" s="401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636"/>
      <c r="C14" s="634"/>
      <c r="D14" s="638"/>
      <c r="E14" s="634"/>
      <c r="F14" s="636" t="s">
        <v>361</v>
      </c>
      <c r="G14" s="634" t="s">
        <v>78</v>
      </c>
      <c r="H14" s="656" t="s">
        <v>361</v>
      </c>
      <c r="I14" s="634" t="s">
        <v>72</v>
      </c>
      <c r="J14" s="638" t="s">
        <v>262</v>
      </c>
      <c r="K14" s="635" t="s">
        <v>78</v>
      </c>
      <c r="L14" s="638" t="s">
        <v>262</v>
      </c>
      <c r="M14" s="484" t="s">
        <v>74</v>
      </c>
      <c r="N14" s="637"/>
      <c r="O14" s="634"/>
      <c r="P14" s="631"/>
      <c r="Q14" s="634"/>
      <c r="R14" s="581" t="s">
        <v>425</v>
      </c>
      <c r="S14" s="474" t="s">
        <v>356</v>
      </c>
      <c r="T14" s="614"/>
      <c r="U14" s="402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35"/>
      <c r="C15" s="537"/>
      <c r="D15" s="637"/>
      <c r="E15" s="559"/>
      <c r="F15" s="532"/>
      <c r="G15" s="534"/>
      <c r="H15" s="608"/>
      <c r="I15" s="602"/>
      <c r="J15" s="46"/>
      <c r="L15" s="638"/>
      <c r="M15" s="634"/>
      <c r="N15" s="535"/>
      <c r="O15" s="590"/>
      <c r="P15" s="506"/>
      <c r="Q15" s="524"/>
      <c r="R15" s="472" t="s">
        <v>321</v>
      </c>
      <c r="S15" s="474" t="s">
        <v>730</v>
      </c>
      <c r="T15" s="614"/>
      <c r="U15" s="402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71"/>
      <c r="C16" s="485"/>
      <c r="D16" s="577"/>
      <c r="E16" s="573"/>
      <c r="F16" s="571"/>
      <c r="G16" s="485"/>
      <c r="H16" s="574"/>
      <c r="I16" s="485"/>
      <c r="J16" s="525"/>
      <c r="K16" s="575"/>
      <c r="L16" s="576"/>
      <c r="M16" s="575"/>
      <c r="N16" s="571"/>
      <c r="O16" s="591"/>
      <c r="P16" s="571"/>
      <c r="Q16" s="540"/>
      <c r="R16" s="471" t="s">
        <v>65</v>
      </c>
      <c r="S16" s="657" t="s">
        <v>262</v>
      </c>
      <c r="T16" s="614"/>
      <c r="U16" s="400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532"/>
      <c r="C17" s="541"/>
      <c r="D17" s="577" t="s">
        <v>413</v>
      </c>
      <c r="E17" s="543" t="s">
        <v>39</v>
      </c>
      <c r="F17" s="577" t="s">
        <v>413</v>
      </c>
      <c r="G17" s="544" t="s">
        <v>36</v>
      </c>
      <c r="H17" s="545"/>
      <c r="I17" s="546"/>
      <c r="J17" s="482"/>
      <c r="K17" s="484"/>
      <c r="L17" s="610"/>
      <c r="M17" s="546"/>
      <c r="N17" s="610"/>
      <c r="O17" s="546"/>
      <c r="P17" s="547" t="s">
        <v>54</v>
      </c>
      <c r="Q17" s="548">
        <v>0.4</v>
      </c>
      <c r="R17" s="678" t="s">
        <v>727</v>
      </c>
      <c r="S17" s="679"/>
      <c r="T17" s="680"/>
      <c r="U17" s="681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549">
        <f>B51</f>
        <v>1.1153846153846152</v>
      </c>
      <c r="C18" s="550"/>
      <c r="D18" s="549">
        <f>D51</f>
        <v>1.5336538461538458</v>
      </c>
      <c r="E18" s="551"/>
      <c r="F18" s="549">
        <f>F51</f>
        <v>1.6730769230769227</v>
      </c>
      <c r="G18" s="550"/>
      <c r="H18" s="549">
        <f>H51</f>
        <v>1.6730769230769227</v>
      </c>
      <c r="I18" s="550"/>
      <c r="J18" s="552">
        <f>J51</f>
        <v>1.6730769230769227</v>
      </c>
      <c r="K18" s="550"/>
      <c r="L18" s="552">
        <f>L51</f>
        <v>1.6730769230769227</v>
      </c>
      <c r="M18" s="550"/>
      <c r="N18" s="549">
        <f>N51</f>
        <v>1.5336538461538458</v>
      </c>
      <c r="O18" s="551"/>
      <c r="P18" s="553">
        <f>P51</f>
        <v>0.72499999999999998</v>
      </c>
      <c r="Q18" s="551">
        <f>P18+Q17</f>
        <v>1.125</v>
      </c>
      <c r="R18" s="682"/>
      <c r="S18" s="683"/>
      <c r="T18" s="683"/>
      <c r="U18" s="684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65"/>
      <c r="C19" s="566"/>
      <c r="D19" s="565"/>
      <c r="E19" s="566"/>
      <c r="F19" s="565" t="s">
        <v>349</v>
      </c>
      <c r="G19" s="560" t="s">
        <v>732</v>
      </c>
      <c r="H19" s="565" t="s">
        <v>349</v>
      </c>
      <c r="I19" s="566" t="s">
        <v>733</v>
      </c>
      <c r="J19" s="565" t="s">
        <v>419</v>
      </c>
      <c r="K19" s="566" t="s">
        <v>737</v>
      </c>
      <c r="L19" s="561" t="s">
        <v>478</v>
      </c>
      <c r="M19" s="559" t="s">
        <v>736</v>
      </c>
      <c r="N19" s="565" t="s">
        <v>349</v>
      </c>
      <c r="O19" s="566" t="s">
        <v>734</v>
      </c>
      <c r="P19" s="565"/>
      <c r="Q19" s="566"/>
      <c r="R19" s="685" t="s">
        <v>90</v>
      </c>
      <c r="S19" s="686"/>
      <c r="T19" s="686"/>
      <c r="U19" s="687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59"/>
      <c r="C20" s="559"/>
      <c r="D20" s="558"/>
      <c r="E20" s="559"/>
      <c r="F20" s="563"/>
      <c r="G20" s="562"/>
      <c r="H20" s="565"/>
      <c r="I20" s="559"/>
      <c r="J20" s="558" t="s">
        <v>415</v>
      </c>
      <c r="K20" s="559" t="s">
        <v>735</v>
      </c>
      <c r="L20" s="561"/>
      <c r="M20" s="559"/>
      <c r="N20" s="558"/>
      <c r="O20" s="559"/>
      <c r="P20" s="558"/>
      <c r="Q20" s="559"/>
      <c r="R20" s="643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64"/>
      <c r="I21" s="107"/>
      <c r="J21" s="24"/>
      <c r="K21" s="160"/>
      <c r="L21" s="561"/>
      <c r="M21" s="559"/>
      <c r="N21" s="24"/>
      <c r="O21" s="107"/>
      <c r="P21" s="24"/>
      <c r="Q21" s="20"/>
      <c r="R21" s="168"/>
      <c r="S21" s="691" t="s">
        <v>93</v>
      </c>
      <c r="T21" s="691"/>
      <c r="U21" s="692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65"/>
      <c r="I22" s="107"/>
      <c r="J22" s="46"/>
      <c r="L22" s="173" t="s">
        <v>117</v>
      </c>
      <c r="M22" s="172"/>
      <c r="N22" s="558"/>
      <c r="O22" s="559"/>
      <c r="P22" s="176"/>
      <c r="Q22" s="177"/>
      <c r="R22" s="693"/>
      <c r="S22" s="694"/>
      <c r="T22" s="694"/>
      <c r="U22" s="695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96"/>
      <c r="S23" s="697"/>
      <c r="T23" s="697"/>
      <c r="U23" s="698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-24.61538461538462</v>
      </c>
      <c r="C30" s="218"/>
      <c r="D30" s="219">
        <f>D44</f>
        <v>-4.7211538461538538</v>
      </c>
      <c r="E30" s="220"/>
      <c r="F30" s="221">
        <f>F44</f>
        <v>1.576923076923066</v>
      </c>
      <c r="G30" s="221"/>
      <c r="H30" s="217">
        <f>H44</f>
        <v>10.576923076923066</v>
      </c>
      <c r="I30" s="218"/>
      <c r="J30" s="217">
        <f>J44</f>
        <v>16.576923076923066</v>
      </c>
      <c r="K30" s="222"/>
      <c r="L30" s="217">
        <f>L44</f>
        <v>12.576923076923066</v>
      </c>
      <c r="M30" s="222"/>
      <c r="N30" s="217">
        <f>N44</f>
        <v>4.2788461538461462</v>
      </c>
      <c r="O30" s="222"/>
      <c r="P30" s="152">
        <f>P44</f>
        <v>-16.25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631" t="s">
        <v>644</v>
      </c>
      <c r="C31" s="647" t="s">
        <v>99</v>
      </c>
      <c r="D31" s="631" t="s">
        <v>12</v>
      </c>
      <c r="E31" s="647" t="s">
        <v>99</v>
      </c>
      <c r="F31" s="648"/>
      <c r="G31" s="649"/>
      <c r="H31" s="650" t="s">
        <v>47</v>
      </c>
      <c r="I31" s="649" t="s">
        <v>242</v>
      </c>
      <c r="J31" s="24"/>
      <c r="K31" s="445"/>
      <c r="L31" s="456"/>
      <c r="M31" s="464"/>
      <c r="N31" s="457"/>
      <c r="O31" s="646"/>
      <c r="P31" s="622"/>
      <c r="Q31" s="445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57"/>
      <c r="G32" s="229"/>
      <c r="H32" s="482"/>
      <c r="I32" s="445"/>
      <c r="J32" s="24"/>
      <c r="K32" s="229"/>
      <c r="L32" s="441"/>
      <c r="M32" s="229"/>
      <c r="N32" s="46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644"/>
      <c r="C33" s="107"/>
      <c r="D33" s="242"/>
      <c r="E33" s="61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548</v>
      </c>
      <c r="T33" s="232" t="s">
        <v>109</v>
      </c>
      <c r="U33" s="247" t="s">
        <v>337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524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669"/>
      <c r="W40" s="670"/>
      <c r="X40" s="670"/>
      <c r="Y40" s="671"/>
      <c r="Z40" s="302"/>
      <c r="AA40" s="303"/>
    </row>
    <row r="41" spans="1:33" ht="73" thickBot="1">
      <c r="A41" s="304" t="s">
        <v>136</v>
      </c>
      <c r="B41" s="305">
        <f>SUM(B43:T43)</f>
        <v>20.8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672"/>
      <c r="W41" s="673"/>
      <c r="X41" s="673"/>
      <c r="Y41" s="674"/>
      <c r="Z41" s="302"/>
      <c r="AA41" s="303"/>
    </row>
    <row r="42" spans="1:33" ht="72">
      <c r="A42" s="304" t="s">
        <v>137</v>
      </c>
      <c r="B42" s="294">
        <f>B40/B41</f>
        <v>25.19230769230769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2</v>
      </c>
      <c r="C43" s="295"/>
      <c r="D43" s="296">
        <f>E9</f>
        <v>2.75</v>
      </c>
      <c r="E43" s="297"/>
      <c r="F43" s="296">
        <f>G9</f>
        <v>3</v>
      </c>
      <c r="G43" s="297"/>
      <c r="H43" s="278">
        <f>I9</f>
        <v>3</v>
      </c>
      <c r="I43" s="299"/>
      <c r="J43" s="278">
        <f>K9</f>
        <v>3</v>
      </c>
      <c r="K43" s="299"/>
      <c r="L43" s="278">
        <f>M9</f>
        <v>3</v>
      </c>
      <c r="M43" s="299"/>
      <c r="N43" s="278">
        <f>O9</f>
        <v>2.75</v>
      </c>
      <c r="O43" s="299"/>
      <c r="P43" s="311">
        <f>Q9</f>
        <v>1.3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-24.61538461538462</v>
      </c>
      <c r="C44" s="295"/>
      <c r="D44" s="318">
        <f>B40/B41*D43-D45</f>
        <v>-4.7211538461538538</v>
      </c>
      <c r="E44" s="319"/>
      <c r="F44" s="318">
        <f>B40/B41*F43-F45</f>
        <v>1.576923076923066</v>
      </c>
      <c r="G44" s="320"/>
      <c r="H44" s="321">
        <f>B40/B41*H43-H45</f>
        <v>10.576923076923066</v>
      </c>
      <c r="I44" s="322"/>
      <c r="J44" s="321">
        <f>B40/B41*J43-J45</f>
        <v>16.576923076923066</v>
      </c>
      <c r="K44" s="322"/>
      <c r="L44" s="321">
        <f>B40/B41*L43-L45</f>
        <v>12.576923076923066</v>
      </c>
      <c r="M44" s="322"/>
      <c r="N44" s="321">
        <f>B40/B41*N43-N45</f>
        <v>4.2788461538461462</v>
      </c>
      <c r="O44" s="322"/>
      <c r="P44" s="311">
        <f>B40/B41*P43-P45</f>
        <v>-16.25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49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313</v>
      </c>
      <c r="K46" s="348">
        <v>59</v>
      </c>
      <c r="L46" s="349" t="s">
        <v>312</v>
      </c>
      <c r="M46" s="348">
        <v>63</v>
      </c>
      <c r="N46" s="349" t="s">
        <v>311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11.6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45.172413793103452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50.38461538461538</v>
      </c>
      <c r="C50" s="354"/>
      <c r="D50" s="354">
        <f>B42*D43</f>
        <v>69.278846153846146</v>
      </c>
      <c r="E50" s="354"/>
      <c r="F50" s="354">
        <f>B42*F43</f>
        <v>75.576923076923066</v>
      </c>
      <c r="G50" s="354"/>
      <c r="H50" s="359">
        <f>B42*H43</f>
        <v>75.576923076923066</v>
      </c>
      <c r="I50" s="354"/>
      <c r="J50" s="354">
        <f>B42*J43</f>
        <v>75.576923076923066</v>
      </c>
      <c r="K50" s="354"/>
      <c r="L50" s="354">
        <f>B42*L43</f>
        <v>75.576923076923066</v>
      </c>
      <c r="M50" s="354"/>
      <c r="N50" s="359">
        <f>B42*N43</f>
        <v>69.278846153846146</v>
      </c>
      <c r="O50" s="354"/>
      <c r="P50" s="354">
        <f>B42*P43</f>
        <v>32.75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1.1153846153846152</v>
      </c>
      <c r="C51" s="354"/>
      <c r="D51" s="354">
        <f>D50/B49</f>
        <v>1.5336538461538458</v>
      </c>
      <c r="E51" s="354"/>
      <c r="F51" s="354">
        <f>F50/B49</f>
        <v>1.6730769230769227</v>
      </c>
      <c r="G51" s="354"/>
      <c r="H51" s="354">
        <f>H50/B49</f>
        <v>1.6730769230769227</v>
      </c>
      <c r="I51" s="354"/>
      <c r="J51" s="354">
        <f>J50/B49</f>
        <v>1.6730769230769227</v>
      </c>
      <c r="K51" s="354"/>
      <c r="L51" s="354">
        <f>L50/B49</f>
        <v>1.6730769230769227</v>
      </c>
      <c r="M51" s="354"/>
      <c r="N51" s="359">
        <f>N50/B49</f>
        <v>1.5336538461538458</v>
      </c>
      <c r="O51" s="354"/>
      <c r="P51" s="354">
        <f>P50/B49</f>
        <v>0.72499999999999998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324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325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</v>
      </c>
      <c r="F69" s="376">
        <f>Q17</f>
        <v>0.4</v>
      </c>
      <c r="G69" s="380">
        <v>1</v>
      </c>
      <c r="H69" s="376">
        <v>0</v>
      </c>
      <c r="I69" s="377">
        <v>0</v>
      </c>
      <c r="J69" s="376">
        <f>SUM(C69:H69)</f>
        <v>2.4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8 Aug </vt:lpstr>
      <vt:lpstr>12 Aug  (2)</vt:lpstr>
      <vt:lpstr>25 Aug</vt:lpstr>
      <vt:lpstr> 27 Aug</vt:lpstr>
      <vt:lpstr> 27 Aug (2)</vt:lpstr>
      <vt:lpstr>7 Aug  (2)</vt:lpstr>
      <vt:lpstr>5 Aug  (4)</vt:lpstr>
      <vt:lpstr>5 Aug  (2)</vt:lpstr>
      <vt:lpstr>5 Aug  (3)</vt:lpstr>
      <vt:lpstr>3 Nov</vt:lpstr>
      <vt:lpstr>4 Nov </vt:lpstr>
      <vt:lpstr>5 Nov  </vt:lpstr>
      <vt:lpstr>6 Nov  </vt:lpstr>
      <vt:lpstr>7 Nov </vt:lpstr>
      <vt:lpstr>10 Nov </vt:lpstr>
      <vt:lpstr>11 Nov </vt:lpstr>
      <vt:lpstr>12 Nov</vt:lpstr>
      <vt:lpstr>13 Nov</vt:lpstr>
      <vt:lpstr>14 Nov </vt:lpstr>
      <vt:lpstr>17 Nov  </vt:lpstr>
      <vt:lpstr>18 Nov </vt:lpstr>
      <vt:lpstr>19 Nov </vt:lpstr>
      <vt:lpstr>20 Nov)</vt:lpstr>
      <vt:lpstr>21 Nov </vt:lpstr>
      <vt:lpstr>24 Nov </vt:lpstr>
      <vt:lpstr>25 Nov </vt:lpstr>
      <vt:lpstr>26 Nov  </vt:lpstr>
      <vt:lpstr>27  Nov </vt:lpstr>
      <vt:lpstr>28 Nov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CHAN, TMH RPT(PHYSIO)</dc:creator>
  <cp:keywords/>
  <dc:description/>
  <cp:lastModifiedBy>Alvin Wong</cp:lastModifiedBy>
  <cp:revision/>
  <dcterms:created xsi:type="dcterms:W3CDTF">2025-07-29T06:29:20Z</dcterms:created>
  <dcterms:modified xsi:type="dcterms:W3CDTF">2026-01-09T17:52:06Z</dcterms:modified>
  <cp:category/>
  <cp:contentStatus/>
</cp:coreProperties>
</file>